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ersonal\Downloads\"/>
    </mc:Choice>
  </mc:AlternateContent>
  <xr:revisionPtr revIDLastSave="0" documentId="13_ncr:1_{73DE33E8-B688-4663-AF34-319AB50284D3}" xr6:coauthVersionLast="47" xr6:coauthVersionMax="47" xr10:uidLastSave="{00000000-0000-0000-0000-000000000000}"/>
  <bookViews>
    <workbookView xWindow="-108" yWindow="-108" windowWidth="23256" windowHeight="12456" tabRatio="620" firstSheet="4" activeTab="4" xr2:uid="{00000000-000D-0000-FFFF-FFFF00000000}"/>
  </bookViews>
  <sheets>
    <sheet name="HORARIOS NOVIEMBRE " sheetId="8" state="hidden" r:id="rId1"/>
    <sheet name="HORARIOS ENERO" sheetId="11" state="hidden" r:id="rId2"/>
    <sheet name="HORARIOS FEBRERO" sheetId="13" state="hidden" r:id="rId3"/>
    <sheet name="HORARIOS MARZO" sheetId="16" state="hidden" r:id="rId4"/>
    <sheet name="HORARIOS JULIO " sheetId="21" r:id="rId5"/>
    <sheet name="DOMINGOS" sheetId="2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71" i="21" l="1"/>
  <c r="Y172" i="21"/>
  <c r="Y173" i="21"/>
  <c r="Y174" i="21"/>
  <c r="Y175" i="21"/>
  <c r="Y176" i="21"/>
  <c r="Y177" i="21"/>
  <c r="Y178" i="21"/>
  <c r="Y107" i="21"/>
  <c r="Y149" i="21"/>
  <c r="Y155" i="21"/>
  <c r="Y120" i="21"/>
  <c r="Y106" i="21"/>
  <c r="Y108" i="21"/>
  <c r="Y109" i="21"/>
  <c r="Y110" i="21"/>
  <c r="Y111" i="21"/>
  <c r="Y112" i="21"/>
  <c r="Y113" i="21"/>
  <c r="Y114" i="21"/>
  <c r="Y115" i="21"/>
  <c r="Y116" i="21"/>
  <c r="Y117" i="21"/>
  <c r="Y118" i="21"/>
  <c r="Y119" i="21"/>
  <c r="Y121" i="21"/>
  <c r="Y122" i="21"/>
  <c r="Y123" i="21"/>
  <c r="Y124" i="21"/>
  <c r="Y125" i="21"/>
  <c r="Y126" i="21"/>
  <c r="Y127" i="21"/>
  <c r="Y128" i="21"/>
  <c r="Y129" i="21"/>
  <c r="Y130" i="21"/>
  <c r="Y131" i="21"/>
  <c r="Y132" i="21"/>
  <c r="Y133" i="21"/>
  <c r="Y60" i="21"/>
  <c r="Y61" i="21"/>
  <c r="Y78" i="21"/>
  <c r="Y66" i="21"/>
  <c r="Y148" i="21"/>
  <c r="Y150" i="21"/>
  <c r="Y151" i="21"/>
  <c r="Y152" i="21"/>
  <c r="Y153" i="21"/>
  <c r="Y154" i="21"/>
  <c r="Y156" i="21"/>
  <c r="Y157" i="21"/>
  <c r="Y158" i="21"/>
  <c r="Y159" i="21"/>
  <c r="Y187" i="21"/>
  <c r="Y188" i="21"/>
  <c r="Y189" i="21"/>
  <c r="Y190" i="21"/>
  <c r="Y191" i="21"/>
  <c r="Y192" i="21"/>
  <c r="Y193" i="21"/>
  <c r="Y194" i="21"/>
  <c r="Y195" i="21"/>
  <c r="Y196" i="21"/>
  <c r="Y197" i="21"/>
  <c r="Y198" i="21"/>
  <c r="Y199" i="21"/>
  <c r="Y200" i="21"/>
  <c r="Y201" i="21"/>
  <c r="Y202" i="21"/>
  <c r="Y203" i="21"/>
  <c r="Y204" i="21"/>
  <c r="Y205" i="21"/>
  <c r="Y206" i="21"/>
  <c r="Y207" i="21"/>
  <c r="Y208" i="21"/>
  <c r="Y209" i="21"/>
  <c r="Y210" i="21"/>
  <c r="Y211" i="21"/>
  <c r="Y212" i="21"/>
  <c r="Y213" i="21"/>
  <c r="Y214" i="21"/>
  <c r="Y215" i="21"/>
  <c r="Y216" i="21"/>
  <c r="Y217" i="21"/>
  <c r="Y218" i="21"/>
  <c r="V219" i="21"/>
  <c r="S219" i="21"/>
  <c r="P219" i="21"/>
  <c r="M219" i="21"/>
  <c r="J219" i="21"/>
  <c r="G219" i="21"/>
  <c r="D219" i="21"/>
  <c r="Y79" i="21"/>
  <c r="Y80" i="21"/>
  <c r="Y81" i="21"/>
  <c r="Y82" i="21"/>
  <c r="Y83" i="21"/>
  <c r="Y84" i="21"/>
  <c r="Y85" i="21"/>
  <c r="Y86" i="21"/>
  <c r="Y87" i="21"/>
  <c r="Y88" i="21"/>
  <c r="Y89" i="21"/>
  <c r="Y90" i="21"/>
  <c r="Y91" i="21"/>
  <c r="Y92" i="21"/>
  <c r="Y93" i="21"/>
  <c r="Y62" i="21"/>
  <c r="Y63" i="21"/>
  <c r="Y64" i="21"/>
  <c r="Y65" i="21"/>
  <c r="Y67" i="21"/>
  <c r="Y68" i="21"/>
  <c r="Y69" i="21"/>
  <c r="Y70" i="21"/>
  <c r="Y71" i="21"/>
  <c r="Y72" i="21"/>
  <c r="Y73" i="21"/>
  <c r="Y74" i="21"/>
  <c r="Y75" i="21"/>
  <c r="Y76" i="21"/>
  <c r="Y77" i="21"/>
  <c r="Y38" i="21"/>
  <c r="Y39" i="21"/>
  <c r="Y40" i="21"/>
  <c r="Y41" i="21"/>
  <c r="Y42" i="21"/>
  <c r="Y43" i="21"/>
  <c r="Y11" i="21"/>
  <c r="Y12" i="21"/>
  <c r="Y13" i="21"/>
  <c r="Y14" i="21"/>
  <c r="Y15" i="21"/>
  <c r="Y16" i="21"/>
  <c r="Y17" i="21"/>
  <c r="Y18" i="21"/>
  <c r="Y19" i="21"/>
  <c r="Y20" i="21"/>
  <c r="Y21" i="21"/>
  <c r="Y22" i="21"/>
  <c r="Y23" i="21"/>
  <c r="Y24" i="21"/>
  <c r="Y25" i="21"/>
  <c r="Y26" i="21"/>
  <c r="Y27" i="21"/>
  <c r="Y28" i="21"/>
  <c r="Y29" i="21"/>
  <c r="D26" i="2"/>
  <c r="E26" i="2"/>
  <c r="F26" i="2"/>
  <c r="C26" i="2"/>
  <c r="Y186" i="21"/>
  <c r="V179" i="21"/>
  <c r="S179" i="21"/>
  <c r="P179" i="21"/>
  <c r="M179" i="21"/>
  <c r="J179" i="21"/>
  <c r="G179" i="21"/>
  <c r="D179" i="21"/>
  <c r="Y170" i="21"/>
  <c r="Y169" i="21"/>
  <c r="Y168" i="21"/>
  <c r="Y167" i="21"/>
  <c r="Y166" i="21"/>
  <c r="Y165" i="21"/>
  <c r="Y164" i="21"/>
  <c r="Y163" i="21"/>
  <c r="Y162" i="21"/>
  <c r="Y161" i="21"/>
  <c r="Y160" i="21"/>
  <c r="Y147" i="21"/>
  <c r="V139" i="21"/>
  <c r="S139" i="21"/>
  <c r="P139" i="21"/>
  <c r="M139" i="21"/>
  <c r="J139" i="21"/>
  <c r="G139" i="21"/>
  <c r="D139" i="21"/>
  <c r="Y138" i="21"/>
  <c r="Y137" i="21"/>
  <c r="Y136" i="21"/>
  <c r="Y135" i="21"/>
  <c r="Y134" i="21"/>
  <c r="Y105" i="21"/>
  <c r="V94" i="21"/>
  <c r="S94" i="21"/>
  <c r="P94" i="21"/>
  <c r="M94" i="21"/>
  <c r="J94" i="21"/>
  <c r="G94" i="21"/>
  <c r="D94" i="21"/>
  <c r="Y59" i="21"/>
  <c r="Y58" i="21"/>
  <c r="Y57" i="21"/>
  <c r="Y45" i="21"/>
  <c r="AD92" i="21" s="1"/>
  <c r="Y46" i="21"/>
  <c r="AD93" i="21" s="1"/>
  <c r="G47" i="21"/>
  <c r="J47" i="21"/>
  <c r="M47" i="21"/>
  <c r="P47" i="21"/>
  <c r="S47" i="21"/>
  <c r="V47" i="21"/>
  <c r="D47" i="21"/>
  <c r="Y37" i="21"/>
  <c r="AD84" i="21" s="1"/>
  <c r="Y44" i="21"/>
  <c r="AD91" i="21" s="1"/>
  <c r="Y36" i="21"/>
  <c r="AD83" i="21" s="1"/>
  <c r="Y35" i="21"/>
  <c r="AD82" i="21" s="1"/>
  <c r="Y34" i="21"/>
  <c r="AD81" i="21" s="1"/>
  <c r="Y33" i="21"/>
  <c r="AD80" i="21" s="1"/>
  <c r="Y31" i="21"/>
  <c r="AD78" i="21" s="1"/>
  <c r="Y32" i="21"/>
  <c r="AD79" i="21" s="1"/>
  <c r="Y30" i="21"/>
  <c r="AD77" i="21" s="1"/>
  <c r="Y10" i="21"/>
  <c r="Y9" i="21"/>
  <c r="Y167" i="16"/>
  <c r="Y168" i="16"/>
  <c r="Y169" i="16"/>
  <c r="Y170" i="16"/>
  <c r="Y171" i="16"/>
  <c r="Y172" i="16"/>
  <c r="Y173" i="16"/>
  <c r="Y174" i="16"/>
  <c r="D175" i="16"/>
  <c r="G175" i="16"/>
  <c r="J175" i="16"/>
  <c r="M175" i="16"/>
  <c r="P175" i="16"/>
  <c r="S175" i="16"/>
  <c r="V175" i="16"/>
  <c r="D30" i="16"/>
  <c r="G30" i="16"/>
  <c r="J30" i="16"/>
  <c r="M30" i="16"/>
  <c r="D60" i="16"/>
  <c r="G60" i="16"/>
  <c r="J60" i="16"/>
  <c r="M60" i="16"/>
  <c r="D90" i="16"/>
  <c r="G90" i="16"/>
  <c r="J90" i="16"/>
  <c r="M90" i="16"/>
  <c r="D118" i="16"/>
  <c r="G118" i="16"/>
  <c r="J118" i="16"/>
  <c r="M118" i="16"/>
  <c r="D148" i="16"/>
  <c r="G148" i="16"/>
  <c r="J148" i="16"/>
  <c r="M148" i="16"/>
  <c r="S118" i="16"/>
  <c r="V118" i="16"/>
  <c r="P118" i="16"/>
  <c r="Y147" i="16"/>
  <c r="Y117" i="16"/>
  <c r="Y87" i="16"/>
  <c r="Y72" i="16"/>
  <c r="Y73" i="16"/>
  <c r="Y74" i="16"/>
  <c r="Y68" i="16"/>
  <c r="Y69" i="16"/>
  <c r="P90" i="16"/>
  <c r="S90" i="16"/>
  <c r="V90" i="16"/>
  <c r="P148" i="16"/>
  <c r="S148" i="16"/>
  <c r="V148" i="16"/>
  <c r="Y127" i="16"/>
  <c r="Y128" i="16"/>
  <c r="Y129" i="16"/>
  <c r="Y38" i="16"/>
  <c r="B34" i="16"/>
  <c r="Y48" i="16"/>
  <c r="Y115" i="16"/>
  <c r="Y116" i="16"/>
  <c r="Y89" i="16"/>
  <c r="Y59" i="16"/>
  <c r="Y22" i="16"/>
  <c r="Y23" i="16"/>
  <c r="Y25" i="16"/>
  <c r="Y26" i="16"/>
  <c r="Y27" i="16"/>
  <c r="Y28" i="16"/>
  <c r="Y29" i="16"/>
  <c r="Y39" i="16"/>
  <c r="Y40" i="16"/>
  <c r="Y41" i="16"/>
  <c r="Y42" i="16"/>
  <c r="Y43" i="16"/>
  <c r="Y44" i="16"/>
  <c r="Y45" i="16"/>
  <c r="Y46" i="16"/>
  <c r="Y47" i="16"/>
  <c r="Y49" i="16"/>
  <c r="Y50" i="16"/>
  <c r="Y51" i="16"/>
  <c r="Y52" i="16"/>
  <c r="Y53" i="16"/>
  <c r="Y55" i="16"/>
  <c r="Y56" i="16"/>
  <c r="Y57" i="16"/>
  <c r="AC39" i="16"/>
  <c r="AC40" i="16"/>
  <c r="AC41" i="16"/>
  <c r="AC42" i="16"/>
  <c r="AC43" i="16"/>
  <c r="AC44" i="16"/>
  <c r="AC45" i="16"/>
  <c r="AC46" i="16"/>
  <c r="AC47" i="16"/>
  <c r="AC48" i="16"/>
  <c r="AC49" i="16"/>
  <c r="AC50" i="16"/>
  <c r="AC51" i="16"/>
  <c r="AC52" i="16"/>
  <c r="AC53" i="16"/>
  <c r="AC55" i="16"/>
  <c r="AC56" i="16"/>
  <c r="AC57" i="16"/>
  <c r="AC58" i="16"/>
  <c r="AC59" i="16"/>
  <c r="AC37" i="16"/>
  <c r="Y166" i="16"/>
  <c r="Y165" i="16"/>
  <c r="Y164" i="16"/>
  <c r="Y163" i="16"/>
  <c r="Y162" i="16"/>
  <c r="Y161" i="16"/>
  <c r="Y160" i="16"/>
  <c r="Y159" i="16"/>
  <c r="Y158" i="16"/>
  <c r="Y157" i="16"/>
  <c r="Y156" i="16"/>
  <c r="Y155" i="16"/>
  <c r="Y154" i="16"/>
  <c r="Y153" i="16"/>
  <c r="Y152" i="16"/>
  <c r="Y146" i="16"/>
  <c r="AD59" i="16" s="1"/>
  <c r="Y145" i="16"/>
  <c r="Y144" i="16"/>
  <c r="Y143" i="16"/>
  <c r="Y142" i="16"/>
  <c r="Y141" i="16"/>
  <c r="Y140" i="16"/>
  <c r="Y139" i="16"/>
  <c r="Y138" i="16"/>
  <c r="Y137" i="16"/>
  <c r="Y136" i="16"/>
  <c r="Y135" i="16"/>
  <c r="Y134" i="16"/>
  <c r="Y133" i="16"/>
  <c r="Y132" i="16"/>
  <c r="Y131" i="16"/>
  <c r="Y130" i="16"/>
  <c r="Y126" i="16"/>
  <c r="Y125" i="16"/>
  <c r="Y114" i="16"/>
  <c r="Y113" i="16"/>
  <c r="Y112" i="16"/>
  <c r="Y111" i="16"/>
  <c r="Y110" i="16"/>
  <c r="Y109" i="16"/>
  <c r="Y108" i="16"/>
  <c r="Y107" i="16"/>
  <c r="Y106" i="16"/>
  <c r="Y105" i="16"/>
  <c r="Y104" i="16"/>
  <c r="Y103" i="16"/>
  <c r="Y102" i="16"/>
  <c r="Y101" i="16"/>
  <c r="Y100" i="16"/>
  <c r="Y99" i="16"/>
  <c r="Y98" i="16"/>
  <c r="Y97" i="16"/>
  <c r="Y96" i="16"/>
  <c r="Y88" i="16"/>
  <c r="Y86" i="16"/>
  <c r="Y85" i="16"/>
  <c r="Y84" i="16"/>
  <c r="AD54" i="16" s="1"/>
  <c r="Y83" i="16"/>
  <c r="AD53" i="16" s="1"/>
  <c r="Y82" i="16"/>
  <c r="Y81" i="16"/>
  <c r="Y80" i="16"/>
  <c r="Y79" i="16"/>
  <c r="Y78" i="16"/>
  <c r="Y77" i="16"/>
  <c r="Y76" i="16"/>
  <c r="Y75" i="16"/>
  <c r="Y71" i="16"/>
  <c r="Y70" i="16"/>
  <c r="Y67" i="16"/>
  <c r="V60" i="16"/>
  <c r="S60" i="16"/>
  <c r="P60" i="16"/>
  <c r="Y58" i="16"/>
  <c r="Y37" i="16"/>
  <c r="B63" i="16"/>
  <c r="B93" i="16" s="1"/>
  <c r="B122" i="16" s="1"/>
  <c r="V30" i="16"/>
  <c r="S30" i="16"/>
  <c r="P30" i="16"/>
  <c r="Y21" i="16"/>
  <c r="Y20" i="16"/>
  <c r="Y19" i="16"/>
  <c r="Y18" i="16"/>
  <c r="Y17" i="16"/>
  <c r="Y16" i="16"/>
  <c r="Y15" i="16"/>
  <c r="Y14" i="16"/>
  <c r="Y13" i="16"/>
  <c r="Y12" i="16"/>
  <c r="Y11" i="16"/>
  <c r="Y10" i="16"/>
  <c r="Y9" i="16"/>
  <c r="Y8" i="16"/>
  <c r="Y6" i="16"/>
  <c r="AD37" i="16" s="1"/>
  <c r="Y152" i="13"/>
  <c r="AD61" i="13" s="1"/>
  <c r="Y112" i="13"/>
  <c r="Y131" i="13"/>
  <c r="Y107" i="13"/>
  <c r="Y151" i="13"/>
  <c r="G121" i="13"/>
  <c r="J121" i="13"/>
  <c r="M121" i="13"/>
  <c r="P121" i="13"/>
  <c r="S121" i="13"/>
  <c r="V121" i="13"/>
  <c r="D121" i="13"/>
  <c r="Y120" i="13"/>
  <c r="Y132" i="13"/>
  <c r="Y101" i="13"/>
  <c r="Y68" i="13"/>
  <c r="Y69" i="13"/>
  <c r="Y72" i="13"/>
  <c r="Y38" i="13"/>
  <c r="Y41" i="13"/>
  <c r="Y42" i="13"/>
  <c r="J92" i="13"/>
  <c r="M92" i="13"/>
  <c r="P92" i="13"/>
  <c r="S92" i="13"/>
  <c r="V92" i="13"/>
  <c r="D92" i="13"/>
  <c r="G92" i="13"/>
  <c r="G60" i="13"/>
  <c r="J60" i="13"/>
  <c r="M60" i="13"/>
  <c r="P60" i="13"/>
  <c r="S60" i="13"/>
  <c r="V60" i="13"/>
  <c r="Y142" i="13"/>
  <c r="Y111" i="13"/>
  <c r="Y82" i="13"/>
  <c r="AC51" i="13"/>
  <c r="AC48" i="13"/>
  <c r="Y51" i="13"/>
  <c r="Y147" i="13"/>
  <c r="Y148" i="13"/>
  <c r="Y49" i="13"/>
  <c r="Y43" i="13"/>
  <c r="Y44" i="13"/>
  <c r="Y45" i="13"/>
  <c r="Y46" i="13"/>
  <c r="Y47" i="13"/>
  <c r="Y48" i="13"/>
  <c r="Y50" i="13"/>
  <c r="Y52" i="13"/>
  <c r="Y53" i="13"/>
  <c r="Y54" i="13"/>
  <c r="Y55" i="13"/>
  <c r="Y56" i="13"/>
  <c r="Y57" i="13"/>
  <c r="Y58" i="13"/>
  <c r="Y59" i="13"/>
  <c r="D60" i="13"/>
  <c r="Y90" i="13"/>
  <c r="Y89" i="13"/>
  <c r="Y88" i="13"/>
  <c r="Y87" i="13"/>
  <c r="Y86" i="13"/>
  <c r="Y85" i="13"/>
  <c r="Y84" i="13"/>
  <c r="Y83" i="13"/>
  <c r="Y81" i="13"/>
  <c r="Y80" i="13"/>
  <c r="Y79" i="13"/>
  <c r="Y78" i="13"/>
  <c r="Y77" i="13"/>
  <c r="Y76" i="13"/>
  <c r="Y75" i="13"/>
  <c r="Y74" i="13"/>
  <c r="Y73" i="13"/>
  <c r="Y71" i="13"/>
  <c r="Y70" i="13"/>
  <c r="Y67" i="13"/>
  <c r="Y40" i="13"/>
  <c r="Y39" i="13"/>
  <c r="Y37" i="13"/>
  <c r="Y36" i="13"/>
  <c r="B33" i="13"/>
  <c r="B63" i="13" s="1"/>
  <c r="B95" i="13" s="1"/>
  <c r="B125" i="13" s="1"/>
  <c r="V153" i="13"/>
  <c r="S153" i="13"/>
  <c r="P153" i="13"/>
  <c r="M153" i="13"/>
  <c r="J153" i="13"/>
  <c r="G153" i="13"/>
  <c r="D153" i="13"/>
  <c r="Y150" i="13"/>
  <c r="Y149" i="13"/>
  <c r="Y146" i="13"/>
  <c r="Y145" i="13"/>
  <c r="Y144" i="13"/>
  <c r="Y143" i="13"/>
  <c r="Y141" i="13"/>
  <c r="Y140" i="13"/>
  <c r="Y139" i="13"/>
  <c r="Y138" i="13"/>
  <c r="Y137" i="13"/>
  <c r="Y136" i="13"/>
  <c r="Y135" i="13"/>
  <c r="Y134" i="13"/>
  <c r="Y133" i="13"/>
  <c r="Y130" i="13"/>
  <c r="Y129" i="13"/>
  <c r="Y128" i="13"/>
  <c r="Y119" i="13"/>
  <c r="Y118" i="13"/>
  <c r="Y117" i="13"/>
  <c r="Y116" i="13"/>
  <c r="Y115" i="13"/>
  <c r="Y114" i="13"/>
  <c r="Y113" i="13"/>
  <c r="Y110" i="13"/>
  <c r="Y109" i="13"/>
  <c r="Y108" i="13"/>
  <c r="Y106" i="13"/>
  <c r="Y105" i="13"/>
  <c r="Y104" i="13"/>
  <c r="Y103" i="13"/>
  <c r="Y102" i="13"/>
  <c r="Y100" i="13"/>
  <c r="Y99" i="13"/>
  <c r="Y98" i="13"/>
  <c r="V29" i="13"/>
  <c r="S29" i="13"/>
  <c r="P29" i="13"/>
  <c r="M29" i="13"/>
  <c r="J29" i="13"/>
  <c r="G29" i="13"/>
  <c r="D29" i="13"/>
  <c r="Y28" i="13"/>
  <c r="Y27" i="13"/>
  <c r="AD58" i="13" s="1"/>
  <c r="AF58" i="13" s="1"/>
  <c r="Y26" i="13"/>
  <c r="AD57" i="13" s="1"/>
  <c r="AF57" i="13" s="1"/>
  <c r="Y25" i="13"/>
  <c r="AD56" i="13" s="1"/>
  <c r="AF56" i="13" s="1"/>
  <c r="Y24" i="13"/>
  <c r="AD55" i="13" s="1"/>
  <c r="AF55" i="13" s="1"/>
  <c r="Y23" i="13"/>
  <c r="Y22" i="13"/>
  <c r="AD53" i="13" s="1"/>
  <c r="AF53" i="13" s="1"/>
  <c r="Y21" i="13"/>
  <c r="AD52" i="13" s="1"/>
  <c r="Y20" i="13"/>
  <c r="AD50" i="13" s="1"/>
  <c r="Y19" i="13"/>
  <c r="AD49" i="13" s="1"/>
  <c r="Y18" i="13"/>
  <c r="AD48" i="13" s="1"/>
  <c r="Y17" i="13"/>
  <c r="AD47" i="13" s="1"/>
  <c r="Y16" i="13"/>
  <c r="AD46" i="13" s="1"/>
  <c r="Y15" i="13"/>
  <c r="Y14" i="13"/>
  <c r="AD45" i="13" s="1"/>
  <c r="Y13" i="13"/>
  <c r="AD44" i="13" s="1"/>
  <c r="Y12" i="13"/>
  <c r="AD43" i="13" s="1"/>
  <c r="Y11" i="13"/>
  <c r="AD42" i="13" s="1"/>
  <c r="Y10" i="13"/>
  <c r="AD41" i="13" s="1"/>
  <c r="Y9" i="13"/>
  <c r="AD40" i="13" s="1"/>
  <c r="Y8" i="13"/>
  <c r="AD39" i="13" s="1"/>
  <c r="Y7" i="13"/>
  <c r="AD37" i="13" s="1"/>
  <c r="Y6" i="13"/>
  <c r="AD36" i="13" s="1"/>
  <c r="H147" i="11"/>
  <c r="K147" i="11"/>
  <c r="N147" i="11"/>
  <c r="Q147" i="11"/>
  <c r="T147" i="11"/>
  <c r="W147" i="11"/>
  <c r="E147" i="11"/>
  <c r="H117" i="11"/>
  <c r="K117" i="11"/>
  <c r="N117" i="11"/>
  <c r="Q117" i="11"/>
  <c r="T117" i="11"/>
  <c r="W117" i="11"/>
  <c r="E117" i="11"/>
  <c r="Z116" i="11"/>
  <c r="Z115" i="11"/>
  <c r="Z125" i="11"/>
  <c r="Z95" i="11"/>
  <c r="H89" i="11"/>
  <c r="K89" i="11"/>
  <c r="N89" i="11"/>
  <c r="Q89" i="11"/>
  <c r="T89" i="11"/>
  <c r="W89" i="11"/>
  <c r="E89" i="11"/>
  <c r="W30" i="11"/>
  <c r="E59" i="11"/>
  <c r="K59" i="11"/>
  <c r="N59" i="11"/>
  <c r="Q59" i="11"/>
  <c r="T59" i="11"/>
  <c r="W59" i="11"/>
  <c r="H59" i="11"/>
  <c r="Z146" i="11"/>
  <c r="Z88" i="11"/>
  <c r="Z29" i="11"/>
  <c r="Z58" i="11"/>
  <c r="Z126" i="11"/>
  <c r="Z127" i="11"/>
  <c r="Z128" i="11"/>
  <c r="Z129" i="11"/>
  <c r="Z130" i="11"/>
  <c r="Z131" i="11"/>
  <c r="Z132" i="11"/>
  <c r="Z133" i="11"/>
  <c r="Z134" i="11"/>
  <c r="Z135" i="11"/>
  <c r="Z136" i="11"/>
  <c r="Z137" i="11"/>
  <c r="Z138" i="11"/>
  <c r="Z139" i="11"/>
  <c r="Z140" i="11"/>
  <c r="Z141" i="11"/>
  <c r="Z142" i="11"/>
  <c r="Z144" i="11"/>
  <c r="Z145" i="11"/>
  <c r="Z109" i="11"/>
  <c r="Z110" i="11"/>
  <c r="Z111" i="11"/>
  <c r="Z112" i="11"/>
  <c r="Z113" i="11"/>
  <c r="Z114" i="11"/>
  <c r="Z105" i="11"/>
  <c r="Z106" i="11"/>
  <c r="Z107" i="11"/>
  <c r="Z108" i="11"/>
  <c r="Z77" i="11"/>
  <c r="Z78" i="11"/>
  <c r="Z79" i="11"/>
  <c r="Z80" i="11"/>
  <c r="Z81" i="11"/>
  <c r="Z82" i="11"/>
  <c r="Z83" i="11"/>
  <c r="Z84" i="11"/>
  <c r="Z85" i="11"/>
  <c r="Z86" i="11"/>
  <c r="Z87" i="11"/>
  <c r="Z51" i="11"/>
  <c r="Z52" i="11"/>
  <c r="Z53" i="11"/>
  <c r="Z54" i="11"/>
  <c r="Z55" i="11"/>
  <c r="Z56" i="11"/>
  <c r="Z57" i="11"/>
  <c r="Z47" i="11"/>
  <c r="Z48" i="11"/>
  <c r="Z49" i="11"/>
  <c r="Z50" i="11"/>
  <c r="T30" i="11"/>
  <c r="Q30" i="11"/>
  <c r="N30" i="11"/>
  <c r="K30" i="11"/>
  <c r="H30" i="11"/>
  <c r="E30" i="11"/>
  <c r="Z28" i="11"/>
  <c r="Z27" i="11"/>
  <c r="Z26" i="11"/>
  <c r="Z25" i="11"/>
  <c r="Z24" i="11"/>
  <c r="Z23" i="11"/>
  <c r="Z22" i="11"/>
  <c r="Z21" i="11"/>
  <c r="Z20" i="11"/>
  <c r="AE50" i="11" s="1"/>
  <c r="Z19" i="11"/>
  <c r="Z18" i="11"/>
  <c r="Z17" i="11"/>
  <c r="Z16" i="11"/>
  <c r="Z15" i="11"/>
  <c r="Z14" i="11"/>
  <c r="Z13" i="11"/>
  <c r="Z12" i="11"/>
  <c r="Z11" i="11"/>
  <c r="Z10" i="11"/>
  <c r="Z9" i="11"/>
  <c r="Z8" i="11"/>
  <c r="Z7" i="11"/>
  <c r="Z124" i="11"/>
  <c r="Z104" i="11"/>
  <c r="Z103" i="11"/>
  <c r="Z102" i="11"/>
  <c r="Z101" i="11"/>
  <c r="Z100" i="11"/>
  <c r="Z99" i="11"/>
  <c r="Z98" i="11"/>
  <c r="Z97" i="11"/>
  <c r="Z96" i="11"/>
  <c r="Z94" i="11"/>
  <c r="Z76" i="11"/>
  <c r="Z75" i="11"/>
  <c r="Z74" i="11"/>
  <c r="Z73" i="11"/>
  <c r="Z72" i="11"/>
  <c r="Z71" i="11"/>
  <c r="Z70" i="11"/>
  <c r="Z69" i="11"/>
  <c r="Z68" i="11"/>
  <c r="Z67" i="11"/>
  <c r="Z46" i="11"/>
  <c r="Z45" i="11"/>
  <c r="Z44" i="11"/>
  <c r="Z43" i="11"/>
  <c r="Z42" i="11"/>
  <c r="Z41" i="11"/>
  <c r="Z40" i="11"/>
  <c r="Z39" i="11"/>
  <c r="Z38" i="11"/>
  <c r="Z37" i="11"/>
  <c r="AE37" i="11" s="1"/>
  <c r="X145" i="8"/>
  <c r="U145" i="8"/>
  <c r="R145" i="8"/>
  <c r="O145" i="8"/>
  <c r="L145" i="8"/>
  <c r="I145" i="8"/>
  <c r="F145" i="8"/>
  <c r="AA144" i="8"/>
  <c r="AA143" i="8"/>
  <c r="AA142" i="8"/>
  <c r="AA141" i="8"/>
  <c r="AA140" i="8"/>
  <c r="AA139" i="8"/>
  <c r="AA138" i="8"/>
  <c r="AA137" i="8"/>
  <c r="AA136" i="8"/>
  <c r="AA135" i="8"/>
  <c r="AA134" i="8"/>
  <c r="AA133" i="8"/>
  <c r="AA132" i="8"/>
  <c r="AA131" i="8"/>
  <c r="AA130" i="8"/>
  <c r="AA129" i="8"/>
  <c r="AA128" i="8"/>
  <c r="AA127" i="8"/>
  <c r="AA126" i="8"/>
  <c r="AA125" i="8"/>
  <c r="AA124" i="8"/>
  <c r="AA123" i="8"/>
  <c r="AA122" i="8"/>
  <c r="AA121" i="8"/>
  <c r="AA120" i="8"/>
  <c r="AA119" i="8"/>
  <c r="D117" i="8"/>
  <c r="AA104" i="8"/>
  <c r="AA113" i="8"/>
  <c r="AA114" i="8"/>
  <c r="AA56" i="8"/>
  <c r="AA57" i="8"/>
  <c r="AF56" i="8"/>
  <c r="AH56" i="8" s="1"/>
  <c r="AF57" i="8"/>
  <c r="AH57" i="8" s="1"/>
  <c r="AA103" i="8"/>
  <c r="I115" i="8"/>
  <c r="L115" i="8"/>
  <c r="O115" i="8"/>
  <c r="R115" i="8"/>
  <c r="U115" i="8"/>
  <c r="X115" i="8"/>
  <c r="F115" i="8"/>
  <c r="AA102" i="8"/>
  <c r="AA99" i="8"/>
  <c r="AA100" i="8"/>
  <c r="AA109" i="8"/>
  <c r="AA110" i="8"/>
  <c r="AA111" i="8"/>
  <c r="AA112" i="8"/>
  <c r="AA73" i="8"/>
  <c r="AA74" i="8"/>
  <c r="AA83" i="8"/>
  <c r="I84" i="8"/>
  <c r="L84" i="8"/>
  <c r="O84" i="8"/>
  <c r="R84" i="8"/>
  <c r="U84" i="8"/>
  <c r="X84" i="8"/>
  <c r="F84" i="8"/>
  <c r="F58" i="8"/>
  <c r="I58" i="8"/>
  <c r="L58" i="8"/>
  <c r="O58" i="8"/>
  <c r="R58" i="8"/>
  <c r="U58" i="8"/>
  <c r="X58" i="8"/>
  <c r="AA55" i="8"/>
  <c r="AA72" i="8"/>
  <c r="AA40" i="8"/>
  <c r="AA41" i="8"/>
  <c r="AA42" i="8"/>
  <c r="AA43" i="8"/>
  <c r="AA44" i="8"/>
  <c r="AA45" i="8"/>
  <c r="AA46" i="8"/>
  <c r="AA47" i="8"/>
  <c r="AA48" i="8"/>
  <c r="AA49" i="8"/>
  <c r="AA50" i="8"/>
  <c r="AA51" i="8"/>
  <c r="AE47" i="8"/>
  <c r="AE46" i="8"/>
  <c r="AE40" i="8"/>
  <c r="AA80" i="8"/>
  <c r="AA7" i="8"/>
  <c r="AA8" i="8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AA22" i="8"/>
  <c r="AA23" i="8"/>
  <c r="AA24" i="8"/>
  <c r="AA25" i="8"/>
  <c r="AA26" i="8"/>
  <c r="AA27" i="8"/>
  <c r="AA28" i="8"/>
  <c r="F30" i="8"/>
  <c r="I30" i="8"/>
  <c r="L30" i="8"/>
  <c r="O30" i="8"/>
  <c r="R30" i="8"/>
  <c r="U30" i="8"/>
  <c r="X30" i="8"/>
  <c r="AA35" i="8"/>
  <c r="AE35" i="8"/>
  <c r="AA36" i="8"/>
  <c r="AE36" i="8"/>
  <c r="AA37" i="8"/>
  <c r="AE37" i="8"/>
  <c r="AA38" i="8"/>
  <c r="AE38" i="8"/>
  <c r="AA39" i="8"/>
  <c r="AE39" i="8"/>
  <c r="AE41" i="8"/>
  <c r="AE42" i="8"/>
  <c r="AE43" i="8"/>
  <c r="AE44" i="8"/>
  <c r="AE45" i="8"/>
  <c r="AE48" i="8"/>
  <c r="AE49" i="8"/>
  <c r="AE50" i="8"/>
  <c r="AE51" i="8"/>
  <c r="AA52" i="8"/>
  <c r="AE52" i="8"/>
  <c r="AA53" i="8"/>
  <c r="AE53" i="8"/>
  <c r="AA54" i="8"/>
  <c r="AE54" i="8"/>
  <c r="AA62" i="8"/>
  <c r="AA63" i="8"/>
  <c r="AA64" i="8"/>
  <c r="AA65" i="8"/>
  <c r="AA66" i="8"/>
  <c r="AA67" i="8"/>
  <c r="AA68" i="8"/>
  <c r="AA69" i="8"/>
  <c r="AA70" i="8"/>
  <c r="AA71" i="8"/>
  <c r="AA75" i="8"/>
  <c r="AA76" i="8"/>
  <c r="AA77" i="8"/>
  <c r="AA78" i="8"/>
  <c r="AA79" i="8"/>
  <c r="AA81" i="8"/>
  <c r="AA82" i="8"/>
  <c r="AA89" i="8"/>
  <c r="AA90" i="8"/>
  <c r="AA91" i="8"/>
  <c r="AA92" i="8"/>
  <c r="AA93" i="8"/>
  <c r="AA94" i="8"/>
  <c r="AA95" i="8"/>
  <c r="AA96" i="8"/>
  <c r="AA97" i="8"/>
  <c r="AA98" i="8"/>
  <c r="AA101" i="8"/>
  <c r="AA105" i="8"/>
  <c r="AA106" i="8"/>
  <c r="AA107" i="8"/>
  <c r="AA108" i="8"/>
  <c r="D32" i="8"/>
  <c r="D60" i="8" s="1"/>
  <c r="D87" i="8" s="1"/>
  <c r="AD76" i="21" l="1"/>
  <c r="AD75" i="21"/>
  <c r="AD74" i="21"/>
  <c r="AD90" i="21"/>
  <c r="AD89" i="21"/>
  <c r="AD88" i="21"/>
  <c r="AD87" i="21"/>
  <c r="AD86" i="21"/>
  <c r="AD85" i="21"/>
  <c r="AD66" i="21"/>
  <c r="AD57" i="21"/>
  <c r="AF88" i="21"/>
  <c r="AF90" i="21"/>
  <c r="AF89" i="21"/>
  <c r="AF87" i="21"/>
  <c r="AF86" i="21"/>
  <c r="AF85" i="21"/>
  <c r="AF80" i="21"/>
  <c r="AF81" i="21"/>
  <c r="AF82" i="21"/>
  <c r="AF83" i="21"/>
  <c r="AF91" i="21"/>
  <c r="AF92" i="21"/>
  <c r="AF93" i="21"/>
  <c r="AF84" i="21"/>
  <c r="AD58" i="21"/>
  <c r="AD73" i="21"/>
  <c r="AD72" i="21"/>
  <c r="AD71" i="21"/>
  <c r="AD70" i="21"/>
  <c r="AD69" i="21"/>
  <c r="AD68" i="21"/>
  <c r="AD67" i="21"/>
  <c r="AD65" i="21"/>
  <c r="AD64" i="21"/>
  <c r="AD63" i="21"/>
  <c r="AD62" i="21"/>
  <c r="AD61" i="21"/>
  <c r="AD60" i="21"/>
  <c r="AD59" i="21"/>
  <c r="AD60" i="16"/>
  <c r="AF60" i="16" s="1"/>
  <c r="AD56" i="16"/>
  <c r="AD55" i="16"/>
  <c r="AD39" i="16"/>
  <c r="AD40" i="16"/>
  <c r="AD41" i="16"/>
  <c r="AD42" i="16"/>
  <c r="AD43" i="16"/>
  <c r="AD44" i="16"/>
  <c r="AD45" i="16"/>
  <c r="AD46" i="16"/>
  <c r="AD47" i="16"/>
  <c r="AD48" i="16"/>
  <c r="AD49" i="16"/>
  <c r="AD50" i="16"/>
  <c r="AD51" i="16"/>
  <c r="AD38" i="16"/>
  <c r="AD58" i="16"/>
  <c r="AD52" i="16"/>
  <c r="AD57" i="16"/>
  <c r="AF58" i="16"/>
  <c r="AF52" i="16"/>
  <c r="AF57" i="16"/>
  <c r="AF56" i="16"/>
  <c r="AF55" i="16"/>
  <c r="AF54" i="16"/>
  <c r="AF53" i="16"/>
  <c r="AF59" i="16"/>
  <c r="AD54" i="13"/>
  <c r="AF54" i="13" s="1"/>
  <c r="AD59" i="13"/>
  <c r="AF59" i="13" s="1"/>
  <c r="AD60" i="13"/>
  <c r="AF60" i="13" s="1"/>
  <c r="AF52" i="13"/>
  <c r="AD51" i="13"/>
  <c r="AE45" i="11"/>
  <c r="AE49" i="11"/>
  <c r="AE51" i="11"/>
  <c r="AG51" i="11" s="1"/>
  <c r="AE58" i="11"/>
  <c r="AG58" i="11" s="1"/>
  <c r="AE54" i="11"/>
  <c r="AG54" i="11" s="1"/>
  <c r="AE53" i="11"/>
  <c r="AG53" i="11" s="1"/>
  <c r="AE56" i="11"/>
  <c r="AG56" i="11" s="1"/>
  <c r="AE38" i="11"/>
  <c r="AE47" i="11"/>
  <c r="AE44" i="11"/>
  <c r="AE46" i="11"/>
  <c r="AE48" i="11"/>
  <c r="AE57" i="11"/>
  <c r="AG57" i="11" s="1"/>
  <c r="AE55" i="11"/>
  <c r="AG55" i="11" s="1"/>
  <c r="AE52" i="11"/>
  <c r="AG52" i="11" s="1"/>
  <c r="AE39" i="11"/>
  <c r="AE40" i="11"/>
  <c r="AE41" i="11"/>
  <c r="AE42" i="11"/>
  <c r="AE43" i="11"/>
  <c r="AF54" i="8"/>
  <c r="AF53" i="8"/>
  <c r="AF51" i="8"/>
  <c r="AF49" i="8"/>
  <c r="AF52" i="8"/>
  <c r="AF50" i="8"/>
  <c r="AF55" i="8"/>
  <c r="AH55" i="8" s="1"/>
  <c r="AF48" i="8"/>
  <c r="AF47" i="8"/>
  <c r="AF46" i="8"/>
  <c r="AF40" i="8"/>
  <c r="AH54" i="8"/>
  <c r="AH53" i="8"/>
  <c r="AH52" i="8"/>
  <c r="AH51" i="8"/>
  <c r="AH49" i="8"/>
  <c r="AH50" i="8"/>
  <c r="AH48" i="8"/>
  <c r="AF45" i="8"/>
  <c r="AF44" i="8"/>
  <c r="AF43" i="8"/>
  <c r="AF42" i="8"/>
  <c r="AF41" i="8"/>
  <c r="AF39" i="8"/>
  <c r="AF38" i="8"/>
  <c r="AF37" i="8"/>
  <c r="AF36" i="8"/>
  <c r="AF35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Store 1128</author>
  </authors>
  <commentList>
    <comment ref="X50" authorId="0" shapeId="0" xr:uid="{65DC2DD6-29A4-44B7-A9A0-C113483DF2A8}">
      <text>
        <r>
          <rPr>
            <sz val="11"/>
            <color theme="1"/>
            <rFont val="Aptos Narrow"/>
            <scheme val="minor"/>
          </rPr>
          <t xml:space="preserve">Store 1128:
DESCANSO POR PRUEBA SABER </t>
        </r>
      </text>
    </comment>
    <comment ref="I63" authorId="0" shapeId="0" xr:uid="{FF1E804C-A5D0-4382-A6E1-ED64CC14B7D4}">
      <text>
        <r>
          <rPr>
            <sz val="11"/>
            <color theme="1"/>
            <rFont val="Aptos Narrow"/>
            <scheme val="minor"/>
          </rPr>
          <t xml:space="preserve">Store 1128:
Cumpleaños OMAR
</t>
        </r>
      </text>
    </comment>
    <comment ref="L71" authorId="0" shapeId="0" xr:uid="{7102B0B3-B145-49A6-A2D0-82ABEBFC3F68}">
      <text>
        <r>
          <rPr>
            <sz val="11"/>
            <color theme="1"/>
            <rFont val="Aptos Narrow"/>
            <scheme val="minor"/>
          </rPr>
          <t xml:space="preserve">Store 1128:
RADIOGRAFIA BEBE
</t>
        </r>
      </text>
    </comment>
    <comment ref="R77" authorId="0" shapeId="0" xr:uid="{5A17A717-6097-4C0D-86CC-8CC80221ECBF}">
      <text>
        <r>
          <rPr>
            <sz val="11"/>
            <color theme="1"/>
            <rFont val="Aptos Narrow"/>
            <scheme val="minor"/>
          </rPr>
          <t xml:space="preserve">Store 1128:
Solicitud de apertura por tema universitario
</t>
        </r>
      </text>
    </comment>
    <comment ref="R111" authorId="0" shapeId="0" xr:uid="{576FD03F-9EF6-4D59-9E94-F46E69DE01D6}">
      <text>
        <r>
          <rPr>
            <sz val="11"/>
            <color theme="1"/>
            <rFont val="Aptos Narrow"/>
            <scheme val="minor"/>
          </rPr>
          <t xml:space="preserve">Store 1128:
PARCIAL </t>
        </r>
      </text>
    </comment>
    <comment ref="I124" authorId="0" shapeId="0" xr:uid="{6AC2A093-8857-44C3-AF03-532AD3E3BCFF}">
      <text>
        <r>
          <rPr>
            <sz val="11"/>
            <color theme="1"/>
            <rFont val="Aptos Narrow"/>
            <scheme val="minor"/>
          </rPr>
          <t xml:space="preserve">Store 1128:
Diligencia medica </t>
        </r>
      </text>
    </comment>
    <comment ref="L125" authorId="0" shapeId="0" xr:uid="{688C0DFC-B9F2-4534-941A-AD4840D5B7BA}">
      <text>
        <r>
          <rPr>
            <sz val="11"/>
            <color theme="1"/>
            <rFont val="Aptos Narrow"/>
            <scheme val="minor"/>
          </rPr>
          <t>Store 1128:
SOLICITUD POR CLAUSURA</t>
        </r>
      </text>
    </comment>
    <comment ref="R129" authorId="0" shapeId="0" xr:uid="{A766AE11-A6AC-4525-9198-BBE1068EEC5D}">
      <text>
        <r>
          <rPr>
            <sz val="11"/>
            <color theme="1"/>
            <rFont val="Aptos Narrow"/>
            <scheme val="minor"/>
          </rPr>
          <t xml:space="preserve">Store 1128:
solicitud personal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Store 1128</author>
  </authors>
  <commentList>
    <comment ref="K43" authorId="0" shapeId="0" xr:uid="{43EE8957-684A-4921-888A-B245073B263C}">
      <text>
        <r>
          <rPr>
            <sz val="11"/>
            <color theme="1"/>
            <rFont val="Aptos Narrow"/>
            <scheme val="minor"/>
          </rPr>
          <t xml:space="preserve">Store 1128:
solicitud </t>
        </r>
      </text>
    </comment>
    <comment ref="N129" authorId="0" shapeId="0" xr:uid="{D806BFDA-8897-4B1B-B4D3-5B7FD73889BD}">
      <text>
        <r>
          <rPr>
            <sz val="11"/>
            <color theme="1"/>
            <rFont val="Aptos Narrow"/>
            <scheme val="minor"/>
          </rPr>
          <t xml:space="preserve">Store 1128:
PERMISO PERSONAL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Store 1128</author>
  </authors>
  <commentList>
    <comment ref="M102" authorId="0" shapeId="0" xr:uid="{E9BBE66C-FFB1-4CEF-864A-3CB6AE6E8271}">
      <text>
        <r>
          <rPr>
            <sz val="11"/>
            <color theme="1"/>
            <rFont val="Aptos Narrow"/>
            <scheme val="minor"/>
          </rPr>
          <t xml:space="preserve">Store 1128:
PERMISO </t>
        </r>
      </text>
    </comment>
    <comment ref="J106" authorId="0" shapeId="0" xr:uid="{C0F8D9D3-21B9-47E9-8178-BBEBB2BACD2D}">
      <text>
        <r>
          <rPr>
            <sz val="11"/>
            <color theme="1"/>
            <rFont val="Aptos Narrow"/>
            <scheme val="minor"/>
          </rPr>
          <t>Store 1128:
CITA MEDICA</t>
        </r>
      </text>
    </comment>
    <comment ref="P110" authorId="0" shapeId="0" xr:uid="{99138FA8-3F18-4784-8239-4F9710704548}">
      <text>
        <r>
          <rPr>
            <sz val="11"/>
            <color theme="1"/>
            <rFont val="Aptos Narrow"/>
            <scheme val="minor"/>
          </rPr>
          <t>Store 1128:
cita hijo }</t>
        </r>
      </text>
    </comment>
    <comment ref="G138" authorId="0" shapeId="0" xr:uid="{C08FB3AB-0E2D-43B8-98E8-2F2DA4DAEDE2}">
      <text>
        <r>
          <rPr>
            <sz val="11"/>
            <color theme="1"/>
            <rFont val="Aptos Narrow"/>
            <scheme val="minor"/>
          </rPr>
          <t xml:space="preserve">Store 1128:
PERMISO CITA MEDICA </t>
        </r>
      </text>
    </comment>
    <comment ref="G142" authorId="0" shapeId="0" xr:uid="{381DF97C-6493-4EBC-8826-CD9113F56DA4}">
      <text>
        <r>
          <rPr>
            <sz val="11"/>
            <color theme="1"/>
            <rFont val="Aptos Narrow"/>
            <scheme val="minor"/>
          </rPr>
          <t xml:space="preserve">Store 1128:
permiso </t>
        </r>
      </text>
    </comment>
    <comment ref="P142" authorId="0" shapeId="0" xr:uid="{66E8A4BD-3CC2-4068-A1C4-B233606B15DE}">
      <text>
        <r>
          <rPr>
            <sz val="11"/>
            <color theme="1"/>
            <rFont val="Aptos Narrow"/>
            <scheme val="minor"/>
          </rPr>
          <t xml:space="preserve">Store 1128:
bloqueado por que lo pidio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Store 1128</author>
  </authors>
  <commentList>
    <comment ref="G43" authorId="0" shapeId="0" xr:uid="{A2968FC9-19E5-47EC-A0CD-658CBB6487D6}">
      <text>
        <r>
          <rPr>
            <sz val="11"/>
            <color theme="1"/>
            <rFont val="Aptos Narrow"/>
            <scheme val="minor"/>
          </rPr>
          <t xml:space="preserve">Store 1128:
pedido apertura
</t>
        </r>
      </text>
    </comment>
    <comment ref="J43" authorId="0" shapeId="0" xr:uid="{10ACF9CA-6D0C-4B3A-B231-50DB7FC4A95D}">
      <text>
        <r>
          <rPr>
            <sz val="11"/>
            <color theme="1"/>
            <rFont val="Aptos Narrow"/>
            <scheme val="minor"/>
          </rPr>
          <t xml:space="preserve">Store 1128:
pedido descanso
</t>
        </r>
      </text>
    </comment>
    <comment ref="M43" authorId="0" shapeId="0" xr:uid="{BA6DD8D0-9E76-4E5A-96F6-F2E41AABDCFE}">
      <text>
        <r>
          <rPr>
            <sz val="11"/>
            <color theme="1"/>
            <rFont val="Aptos Narrow"/>
            <scheme val="minor"/>
          </rPr>
          <t xml:space="preserve">Store 1128:
Pedido descanso
</t>
        </r>
      </text>
    </comment>
    <comment ref="G44" authorId="0" shapeId="0" xr:uid="{E1F357F1-56F9-461F-9220-C15FE7FFF286}">
      <text>
        <r>
          <rPr>
            <sz val="11"/>
            <color theme="1"/>
            <rFont val="Aptos Narrow"/>
            <scheme val="minor"/>
          </rPr>
          <t xml:space="preserve">Store 1128:
solicitado descanso
</t>
        </r>
      </text>
    </comment>
    <comment ref="J44" authorId="0" shapeId="0" xr:uid="{778177A9-5E47-4701-8A74-949C8D44936B}">
      <text>
        <r>
          <rPr>
            <sz val="11"/>
            <color theme="1"/>
            <rFont val="Aptos Narrow"/>
            <scheme val="minor"/>
          </rPr>
          <t xml:space="preserve">Store 1128:
solicitado descanso
</t>
        </r>
      </text>
    </comment>
    <comment ref="D45" authorId="0" shapeId="0" xr:uid="{71B443CD-9E31-4CD0-BC44-8AEAB63E9D07}">
      <text>
        <r>
          <rPr>
            <sz val="11"/>
            <color theme="1"/>
            <rFont val="Aptos Narrow"/>
            <scheme val="minor"/>
          </rPr>
          <t xml:space="preserve">Store 1128:
Descanso solicitado
</t>
        </r>
      </text>
    </comment>
    <comment ref="P48" authorId="0" shapeId="0" xr:uid="{A2F37CDD-790D-45E1-A35E-C133A5D0B566}">
      <text>
        <r>
          <rPr>
            <sz val="11"/>
            <color theme="1"/>
            <rFont val="Aptos Narrow"/>
            <scheme val="minor"/>
          </rPr>
          <t xml:space="preserve">Store 1128:
solicitado descanso
</t>
        </r>
      </text>
    </comment>
    <comment ref="P51" authorId="0" shapeId="0" xr:uid="{BA31C4A1-1A03-43B2-9EEB-9C66B423F59A}">
      <text>
        <r>
          <rPr>
            <sz val="11"/>
            <color theme="1"/>
            <rFont val="Aptos Narrow"/>
            <scheme val="minor"/>
          </rPr>
          <t xml:space="preserve">Store 1128:
solicitado como descanso
</t>
        </r>
      </text>
    </comment>
    <comment ref="V51" authorId="0" shapeId="0" xr:uid="{C261F8F8-386A-484B-8BCB-4CAA3BF7F2B8}">
      <text>
        <r>
          <rPr>
            <sz val="11"/>
            <color theme="1"/>
            <rFont val="Aptos Narrow"/>
            <scheme val="minor"/>
          </rPr>
          <t xml:space="preserve">Store 1128:
Solicitado como descanso
</t>
        </r>
      </text>
    </comment>
    <comment ref="S57" authorId="0" shapeId="0" xr:uid="{77D7339E-6C68-495D-A4BC-2ECA7A322EDF}">
      <text>
        <r>
          <rPr>
            <sz val="11"/>
            <color theme="1"/>
            <rFont val="Aptos Narrow"/>
            <scheme val="minor"/>
          </rPr>
          <t xml:space="preserve">Store 1128:
APERTURA </t>
        </r>
      </text>
    </comment>
    <comment ref="V57" authorId="0" shapeId="0" xr:uid="{3A644977-062A-4420-91A4-A8E58AF921BD}">
      <text>
        <r>
          <rPr>
            <sz val="11"/>
            <color theme="1"/>
            <rFont val="Aptos Narrow"/>
            <scheme val="minor"/>
          </rPr>
          <t xml:space="preserve">Store 1128:
Jurado votación
</t>
        </r>
      </text>
    </comment>
    <comment ref="M80" authorId="0" shapeId="0" xr:uid="{D16B657B-F759-45D7-B1D4-7AEFEC8B06F8}">
      <text>
        <r>
          <rPr>
            <sz val="11"/>
            <color theme="1"/>
            <rFont val="Aptos Narrow"/>
            <scheme val="minor"/>
          </rPr>
          <t xml:space="preserve">Store 1128:
SOLICITUD POR CITA MEDICA
</t>
        </r>
      </text>
    </comment>
    <comment ref="J81" authorId="0" shapeId="0" xr:uid="{634D6553-2497-40D6-95A6-64FA592A8DF9}">
      <text>
        <r>
          <rPr>
            <sz val="11"/>
            <color theme="1"/>
            <rFont val="Aptos Narrow"/>
            <scheme val="minor"/>
          </rPr>
          <t xml:space="preserve">Store 1128:
SOLICITADO 
</t>
        </r>
      </text>
    </comment>
    <comment ref="G99" authorId="0" shapeId="0" xr:uid="{9CB9BBB5-2E10-4A8A-87AA-84F453CA1875}">
      <text>
        <r>
          <rPr>
            <sz val="11"/>
            <color theme="1"/>
            <rFont val="Aptos Narrow"/>
            <scheme val="minor"/>
          </rPr>
          <t xml:space="preserve">Store 1128:
salir temprano o descansar
</t>
        </r>
      </text>
    </comment>
    <comment ref="D126" authorId="0" shapeId="0" xr:uid="{D22603D2-09C2-4F3B-9EF2-364649BC1B7A}">
      <text>
        <r>
          <rPr>
            <sz val="11"/>
            <color theme="1"/>
            <rFont val="Aptos Narrow"/>
            <scheme val="minor"/>
          </rPr>
          <t xml:space="preserve">Store 1128:
DESCANSO SOLICITADO
</t>
        </r>
      </text>
    </comment>
    <comment ref="D133" authorId="0" shapeId="0" xr:uid="{59A044CF-C278-4BEF-AB19-A0CBC8DEBCC3}">
      <text>
        <r>
          <rPr>
            <sz val="11"/>
            <color theme="1"/>
            <rFont val="Aptos Narrow"/>
            <scheme val="minor"/>
          </rPr>
          <t xml:space="preserve">Store 1128:
SOLICITUD POR COMPROMISO
</t>
        </r>
      </text>
    </comment>
    <comment ref="M138" authorId="0" shapeId="0" xr:uid="{21FA9915-6F68-4BF5-B215-9B5D9E2CE636}">
      <text>
        <r>
          <rPr>
            <sz val="11"/>
            <color theme="1"/>
            <rFont val="Aptos Narrow"/>
            <scheme val="minor"/>
          </rPr>
          <t xml:space="preserve">Store 1128:
permiso cita medica </t>
        </r>
      </text>
    </comment>
    <comment ref="D155" authorId="0" shapeId="0" xr:uid="{8381BCB2-AABF-422E-9D2A-7F676CB8FB26}">
      <text>
        <r>
          <rPr>
            <sz val="11"/>
            <color theme="1"/>
            <rFont val="Aptos Narrow"/>
            <scheme val="minor"/>
          </rPr>
          <t xml:space="preserve">Store 1128:
descanso solicitado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Store 1029</author>
  </authors>
  <commentList>
    <comment ref="M67" authorId="0" shapeId="0" xr:uid="{977024F9-06D9-4CB7-AE66-373D8D05588A}">
      <text>
        <r>
          <rPr>
            <sz val="11"/>
            <color theme="1"/>
            <rFont val="Aptos Narrow"/>
            <scheme val="minor"/>
          </rPr>
          <t>Store 1029:
CITA MEDICA</t>
        </r>
      </text>
    </comment>
    <comment ref="J152" authorId="0" shapeId="0" xr:uid="{3BDA7E77-8DA9-4BDC-AAFD-B5CDBA4D04BD}">
      <text>
        <r>
          <rPr>
            <sz val="11"/>
            <color theme="1"/>
            <rFont val="Aptos Narrow"/>
            <scheme val="minor"/>
          </rPr>
          <t>Store 1029:
cita merdica</t>
        </r>
      </text>
    </comment>
  </commentList>
</comments>
</file>

<file path=xl/sharedStrings.xml><?xml version="1.0" encoding="utf-8"?>
<sst xmlns="http://schemas.openxmlformats.org/spreadsheetml/2006/main" count="1441" uniqueCount="389">
  <si>
    <t xml:space="preserve">NOVIEMBRE </t>
  </si>
  <si>
    <t>CARGO</t>
  </si>
  <si>
    <t>NOMBRE</t>
  </si>
  <si>
    <t>SABADO 1</t>
  </si>
  <si>
    <t>DOMINGO 2</t>
  </si>
  <si>
    <t>TRABAJA</t>
  </si>
  <si>
    <t>EXTRA</t>
  </si>
  <si>
    <t>FIRMA</t>
  </si>
  <si>
    <t xml:space="preserve">JEFE </t>
  </si>
  <si>
    <t>PAOLA SALAMANCA</t>
  </si>
  <si>
    <t>PERMISOS / LICENCIAS</t>
  </si>
  <si>
    <t xml:space="preserve">SUB JEFE </t>
  </si>
  <si>
    <t xml:space="preserve">TATIANA AVILA </t>
  </si>
  <si>
    <t>VACACIONES</t>
  </si>
  <si>
    <t>LUIS LOPEZ</t>
  </si>
  <si>
    <t>DESCANSOS</t>
  </si>
  <si>
    <t xml:space="preserve">CAJERO </t>
  </si>
  <si>
    <t>CRISTIAN GARCIA</t>
  </si>
  <si>
    <t>REUNIONES</t>
  </si>
  <si>
    <t xml:space="preserve">VALENTINA CHAPARRO </t>
  </si>
  <si>
    <t>SOLICITUDES</t>
  </si>
  <si>
    <t xml:space="preserve">FERNANDA RODRIGUEZ </t>
  </si>
  <si>
    <t>IMPORTANTE</t>
  </si>
  <si>
    <t>FULL TIME</t>
  </si>
  <si>
    <t>DANIEL GARZON</t>
  </si>
  <si>
    <t xml:space="preserve">SANDY TALERO </t>
  </si>
  <si>
    <t xml:space="preserve">DANIEL QUIMBAYO </t>
  </si>
  <si>
    <t xml:space="preserve">DANIEL RESTREPO </t>
  </si>
  <si>
    <t xml:space="preserve">MIGUEL VEGA </t>
  </si>
  <si>
    <t>JUAN CAMILO CORTES</t>
  </si>
  <si>
    <t>PART TIME</t>
  </si>
  <si>
    <t xml:space="preserve">MARIA GARCIA </t>
  </si>
  <si>
    <t>EDUARDO SANCHEZ</t>
  </si>
  <si>
    <t>SERGIO EMILIANI</t>
  </si>
  <si>
    <t>SEBASTIAN GARCIA</t>
  </si>
  <si>
    <t>DANIEL RODRIGUEZ</t>
  </si>
  <si>
    <t>MATEO PARRA</t>
  </si>
  <si>
    <t>JULIANA FLOREZ</t>
  </si>
  <si>
    <t>ESTEBAN DIAZ</t>
  </si>
  <si>
    <t xml:space="preserve">FESTIVO </t>
  </si>
  <si>
    <t xml:space="preserve">ENCUENTRO SUB JEFES/ REUNION CONDICIONES </t>
  </si>
  <si>
    <t>BULK CONT</t>
  </si>
  <si>
    <t>CONSOLIDADO</t>
  </si>
  <si>
    <t>LUNES 3</t>
  </si>
  <si>
    <t>MARTES 4</t>
  </si>
  <si>
    <t>MIERCOLES 5</t>
  </si>
  <si>
    <t>JUEVES 6</t>
  </si>
  <si>
    <t>VIERNES 7</t>
  </si>
  <si>
    <t>SABADO 8</t>
  </si>
  <si>
    <t>DOMINGO 9</t>
  </si>
  <si>
    <t>HORAS</t>
  </si>
  <si>
    <t>OMAR SANCHEZ</t>
  </si>
  <si>
    <t>CAJEROS</t>
  </si>
  <si>
    <t xml:space="preserve">DANIEL GARZON </t>
  </si>
  <si>
    <t>MARIA SERRANO</t>
  </si>
  <si>
    <t>JESSICA MORENO</t>
  </si>
  <si>
    <t>CAMILO RIAÑO</t>
  </si>
  <si>
    <t>MAURICIO PARRA</t>
  </si>
  <si>
    <t>REUNION JEFES DE TIENDA OPTIMUS -FUMIGACIÓN</t>
  </si>
  <si>
    <t xml:space="preserve">LIMPIEZA VIDRIOS </t>
  </si>
  <si>
    <t xml:space="preserve">TRASPASO </t>
  </si>
  <si>
    <t xml:space="preserve">REUNION MENSUAL </t>
  </si>
  <si>
    <t>LUNES 10</t>
  </si>
  <si>
    <t>MARTES 11</t>
  </si>
  <si>
    <t>MIERCOLES  12</t>
  </si>
  <si>
    <t>JUEVES 13</t>
  </si>
  <si>
    <t>VIERNES 14</t>
  </si>
  <si>
    <t>SABADO 15</t>
  </si>
  <si>
    <t>DOMINGO 16</t>
  </si>
  <si>
    <t xml:space="preserve">  </t>
  </si>
  <si>
    <t xml:space="preserve">PAOLA PULIDO </t>
  </si>
  <si>
    <t>RIESGO PUBLICO</t>
  </si>
  <si>
    <t>TRASPASO 6:00AM</t>
  </si>
  <si>
    <t xml:space="preserve">RIESGO PUBLICO </t>
  </si>
  <si>
    <t xml:space="preserve">CAP. PRODUCTO </t>
  </si>
  <si>
    <t xml:space="preserve">CAPACITACION PRODUCTO </t>
  </si>
  <si>
    <t xml:space="preserve">REUNION DE DISTRITO </t>
  </si>
  <si>
    <t>LUNES 17</t>
  </si>
  <si>
    <t>MARTES 18</t>
  </si>
  <si>
    <t>MIERCOLES 19</t>
  </si>
  <si>
    <t>JUEVES 20</t>
  </si>
  <si>
    <t>VIERNES 21</t>
  </si>
  <si>
    <t>SABADO 22</t>
  </si>
  <si>
    <t>DOMINGO 23</t>
  </si>
  <si>
    <t>FULL TIME TEMP</t>
  </si>
  <si>
    <t xml:space="preserve">JENNIFER CAICEDO </t>
  </si>
  <si>
    <t>CESAR SALAZAR</t>
  </si>
  <si>
    <t>JULIAN CAMILO SANCHEZ</t>
  </si>
  <si>
    <t>PART-TIME TEMP</t>
  </si>
  <si>
    <t>JEFFER PARRA</t>
  </si>
  <si>
    <t>recuperacion tienda/campaña</t>
  </si>
  <si>
    <t xml:space="preserve">EMBARQUE </t>
  </si>
  <si>
    <t xml:space="preserve">REUNION DM/TRASPASO </t>
  </si>
  <si>
    <t>REUNION COPASST JEFE/IND TEMP</t>
  </si>
  <si>
    <t>EMBARQUE</t>
  </si>
  <si>
    <t xml:space="preserve">BLACK FRIDAY </t>
  </si>
  <si>
    <t>LUNES 24</t>
  </si>
  <si>
    <t>MARTES 25</t>
  </si>
  <si>
    <t>MIERCOLES 26</t>
  </si>
  <si>
    <t>JUEVES 27</t>
  </si>
  <si>
    <t>VIERNES 28</t>
  </si>
  <si>
    <t>SABADO 29</t>
  </si>
  <si>
    <t>DOMIMGO 30</t>
  </si>
  <si>
    <t xml:space="preserve"> </t>
  </si>
  <si>
    <t xml:space="preserve">VANEZA CAICEDO </t>
  </si>
  <si>
    <t>DICIEMBRE</t>
  </si>
  <si>
    <t>REUNION COPASST</t>
  </si>
  <si>
    <t>LUNES 29</t>
  </si>
  <si>
    <t>MARTES 30</t>
  </si>
  <si>
    <t>MIERCOLES 31</t>
  </si>
  <si>
    <t>JUEVES 1</t>
  </si>
  <si>
    <t>VIERNES 2</t>
  </si>
  <si>
    <t>SABADO 3</t>
  </si>
  <si>
    <t>DOMINGO 4</t>
  </si>
  <si>
    <t xml:space="preserve">LAURA PACHON </t>
  </si>
  <si>
    <t>APOYOS FULL TEM</t>
  </si>
  <si>
    <t>PART-TIME</t>
  </si>
  <si>
    <t xml:space="preserve">DIEGO ARAGON </t>
  </si>
  <si>
    <t xml:space="preserve">REUNION RRHH 8AM </t>
  </si>
  <si>
    <t xml:space="preserve">ENERO </t>
  </si>
  <si>
    <t>RECUPERACION TIENDA</t>
  </si>
  <si>
    <t xml:space="preserve">EMBARQUE 6AM </t>
  </si>
  <si>
    <t xml:space="preserve">FEEDBACK EVALUACION </t>
  </si>
  <si>
    <t xml:space="preserve">ENTRENAMIENTO EVALUACIONES </t>
  </si>
  <si>
    <t>LUNES 5</t>
  </si>
  <si>
    <t>MARTES 6</t>
  </si>
  <si>
    <t>MIERCOLES 7</t>
  </si>
  <si>
    <t>JUEVES 8</t>
  </si>
  <si>
    <t>VIERNES 9</t>
  </si>
  <si>
    <t>SABADO 10</t>
  </si>
  <si>
    <t>DOMINGO 11</t>
  </si>
  <si>
    <t xml:space="preserve">FULL TIME </t>
  </si>
  <si>
    <t xml:space="preserve">TRASNOCHON ORDEN BODEGA Y PISO DE VENTA </t>
  </si>
  <si>
    <t>FESTIVO</t>
  </si>
  <si>
    <t>REUNIÓN DISTRITO</t>
  </si>
  <si>
    <t xml:space="preserve">CAPACITACION CAJA MENOR </t>
  </si>
  <si>
    <t>LUNES 12</t>
  </si>
  <si>
    <t>MARTES 13</t>
  </si>
  <si>
    <t>MIERCOLES 14</t>
  </si>
  <si>
    <t>JUEVES 15</t>
  </si>
  <si>
    <t>VIERNES 16</t>
  </si>
  <si>
    <t>SABADO 17</t>
  </si>
  <si>
    <t>DOMINGO 18</t>
  </si>
  <si>
    <t xml:space="preserve">TRAPASO </t>
  </si>
  <si>
    <t>Inducción corporativa Daniel Mendez</t>
  </si>
  <si>
    <t>REUNION NOLLY</t>
  </si>
  <si>
    <t>BULK COUNT</t>
  </si>
  <si>
    <t>LUNES 19</t>
  </si>
  <si>
    <t>MARTES 20</t>
  </si>
  <si>
    <t>MIERCOLES 21</t>
  </si>
  <si>
    <t>JUEVES 22</t>
  </si>
  <si>
    <t>VIERNES 23</t>
  </si>
  <si>
    <t>SABADO 24</t>
  </si>
  <si>
    <t>DOMINGO 25</t>
  </si>
  <si>
    <t xml:space="preserve">
NOLLY ESTHER BLANCO</t>
  </si>
  <si>
    <t>DANIEL MENDEZ</t>
  </si>
  <si>
    <t>ENTREVISTAS</t>
  </si>
  <si>
    <t xml:space="preserve">REUNION EQUIPO </t>
  </si>
  <si>
    <t>EMBARQUE 6AM</t>
  </si>
  <si>
    <t>TRASPASO</t>
  </si>
  <si>
    <t>REUNION COMERCIAL</t>
  </si>
  <si>
    <t>COPASST</t>
  </si>
  <si>
    <t>LUNES 26</t>
  </si>
  <si>
    <t>MARTES 27</t>
  </si>
  <si>
    <t>MIERCOLES 28</t>
  </si>
  <si>
    <t>JUEVES 29</t>
  </si>
  <si>
    <t>VIERNES 30</t>
  </si>
  <si>
    <t>SABADO 31</t>
  </si>
  <si>
    <t>DOMINGO 1</t>
  </si>
  <si>
    <t>PEDRO MENDEZ</t>
  </si>
  <si>
    <t xml:space="preserve">FEBRERO </t>
  </si>
  <si>
    <t>FULL-TIME</t>
  </si>
  <si>
    <t xml:space="preserve">ERIKA FARFAN </t>
  </si>
  <si>
    <t xml:space="preserve">REUNION BONO CAJA </t>
  </si>
  <si>
    <t xml:space="preserve">RECEPCION DE TARSPASO </t>
  </si>
  <si>
    <t xml:space="preserve">REUNION DISTRITO </t>
  </si>
  <si>
    <t xml:space="preserve">REUNION NOLLY </t>
  </si>
  <si>
    <t xml:space="preserve">REUNION VALENTINA </t>
  </si>
  <si>
    <t>LUNES 2</t>
  </si>
  <si>
    <t>MARTES 3</t>
  </si>
  <si>
    <t>MIERCOLES 4</t>
  </si>
  <si>
    <t>JUEVES 5</t>
  </si>
  <si>
    <t>VIERNES 6</t>
  </si>
  <si>
    <t>SABADO 7</t>
  </si>
  <si>
    <t>DOMINGO 8</t>
  </si>
  <si>
    <t xml:space="preserve">JOSE MORENO </t>
  </si>
  <si>
    <t>LORENA FARFAN</t>
  </si>
  <si>
    <t xml:space="preserve">ANDREA MONROY </t>
  </si>
  <si>
    <t>JOSE CHAVEZ</t>
  </si>
  <si>
    <t xml:space="preserve">JOSE CHAVEZ </t>
  </si>
  <si>
    <t xml:space="preserve">jUAN DANIEL CASALLAS </t>
  </si>
  <si>
    <t xml:space="preserve">ALEJANDRA DURAN </t>
  </si>
  <si>
    <t>1era EVALUACION PLAN P.</t>
  </si>
  <si>
    <t>SALUD Y SEGURIDAD</t>
  </si>
  <si>
    <t xml:space="preserve">CAMBIO PISO DE VENTA </t>
  </si>
  <si>
    <t>VISITA OPERACIONES</t>
  </si>
  <si>
    <t xml:space="preserve">CAP. VISUAL </t>
  </si>
  <si>
    <t>LUNES 9</t>
  </si>
  <si>
    <t>MARTES 10</t>
  </si>
  <si>
    <t>MIERCOLES 11</t>
  </si>
  <si>
    <t>JUEVES 12</t>
  </si>
  <si>
    <t>VIERNES 13</t>
  </si>
  <si>
    <t>SABADO 14</t>
  </si>
  <si>
    <t>DOMINGO 15</t>
  </si>
  <si>
    <t>ENTRENAMIENTO FEEDBACK</t>
  </si>
  <si>
    <t xml:space="preserve">REUNION COMERCIAL </t>
  </si>
  <si>
    <t>CAP. LIDER MANT.</t>
  </si>
  <si>
    <t>LUNES 16</t>
  </si>
  <si>
    <t>MARTES 17</t>
  </si>
  <si>
    <t>MIERCOLES 18</t>
  </si>
  <si>
    <t>JUEVES 19</t>
  </si>
  <si>
    <t>VIERNES 20</t>
  </si>
  <si>
    <t>SABADO 21</t>
  </si>
  <si>
    <t>DOMINGO 22</t>
  </si>
  <si>
    <t>JUAN DANIEL CASALLAS</t>
  </si>
  <si>
    <t>FUMIGACIÓN 20-21</t>
  </si>
  <si>
    <t>REFUERZO MANHATTAN</t>
  </si>
  <si>
    <t>TRASPASOS</t>
  </si>
  <si>
    <t>INDUCCION JUAN Y ERIKA</t>
  </si>
  <si>
    <t xml:space="preserve">REFUERZO MANHATTAN </t>
  </si>
  <si>
    <t xml:space="preserve">INSPECCIONES </t>
  </si>
  <si>
    <t>CHECK LIST MANT.</t>
  </si>
  <si>
    <t>LUNES 23</t>
  </si>
  <si>
    <t>MARTES 24</t>
  </si>
  <si>
    <t>MIERCOLES 25</t>
  </si>
  <si>
    <t>JUEVES 26</t>
  </si>
  <si>
    <t>VIERNES 27</t>
  </si>
  <si>
    <t>SABADO 28</t>
  </si>
  <si>
    <t xml:space="preserve">JAVIER CARVAJAL </t>
  </si>
  <si>
    <t>no tocar</t>
  </si>
  <si>
    <t>MARZO</t>
  </si>
  <si>
    <t>reunión Juan, Erika y Alejandra</t>
  </si>
  <si>
    <t>RECUPERAR TIENDA</t>
  </si>
  <si>
    <t>capacitación subjefe  visual floresta 9:00 - 11:00</t>
  </si>
  <si>
    <t xml:space="preserve">PREPARACIÓN FDS/ HORARIOS </t>
  </si>
  <si>
    <t>JURADO VOTACIÓN</t>
  </si>
  <si>
    <t>OPTIMUS</t>
  </si>
  <si>
    <t>reinducción RRHH 11:00 - 12:30</t>
  </si>
  <si>
    <t>JAVIER CARVAJAL</t>
  </si>
  <si>
    <t>ANDRES GONZALEZ</t>
  </si>
  <si>
    <t xml:space="preserve">ALEJANDRO PALACIOS </t>
  </si>
  <si>
    <t>Reunión comercial 2:00 - 3:30</t>
  </si>
  <si>
    <t>capacitación brigadistas 11:00 - 12:00</t>
  </si>
  <si>
    <t>capacitación finanzas 10 - 11:30</t>
  </si>
  <si>
    <t>CAPACITACION TRASPASOS</t>
  </si>
  <si>
    <t xml:space="preserve">REUNION OFICINA LUIS </t>
  </si>
  <si>
    <t>MEDIA JORNADA DANIEL G.</t>
  </si>
  <si>
    <t>ACTIVATE POR TU BIENESTAR</t>
  </si>
  <si>
    <t xml:space="preserve">MEDIA JORNADA OMAR </t>
  </si>
  <si>
    <t>SABADO SEMESTRAL OMAR</t>
  </si>
  <si>
    <t xml:space="preserve">MEDIA JORNADA MIGUEL </t>
  </si>
  <si>
    <t xml:space="preserve">CAJEROS </t>
  </si>
  <si>
    <t>ALEJANDRO PALACIOS</t>
  </si>
  <si>
    <t>MEDIA JORNADA VANEZA</t>
  </si>
  <si>
    <t>ALISTAR TRASPASOS</t>
  </si>
  <si>
    <t>Folios Smoke</t>
  </si>
  <si>
    <t>ENVIO DE TRASPASO</t>
  </si>
  <si>
    <t>INDUCCION RRHH</t>
  </si>
  <si>
    <t>REUNIÓN COPASST PAOLA 8:30</t>
  </si>
  <si>
    <t>FIN DE SEMANA LUIS</t>
  </si>
  <si>
    <t xml:space="preserve">MEDIA JORNADA PAOLA </t>
  </si>
  <si>
    <t>RECEPCION DE TRASPASOS</t>
  </si>
  <si>
    <t>MEDIA JORNADA YESICA</t>
  </si>
  <si>
    <t>LUNES 23 (FESTIVO)</t>
  </si>
  <si>
    <t>DOMINGO 29</t>
  </si>
  <si>
    <t>REUNION COPASST (PAOLA)</t>
  </si>
  <si>
    <t>LUNES 30</t>
  </si>
  <si>
    <t>MARTES 31</t>
  </si>
  <si>
    <t>MIERCOLES 1</t>
  </si>
  <si>
    <t>JUEVES 2</t>
  </si>
  <si>
    <t xml:space="preserve">VIERNES 3 </t>
  </si>
  <si>
    <t>SABADO 4</t>
  </si>
  <si>
    <t>DOMINGO 5</t>
  </si>
  <si>
    <t>|</t>
  </si>
  <si>
    <t xml:space="preserve">BRIGADISTAS </t>
  </si>
  <si>
    <t xml:space="preserve">JULIO </t>
  </si>
  <si>
    <t>VIERNES 3</t>
  </si>
  <si>
    <t xml:space="preserve">PAOLA SALAMANCA </t>
  </si>
  <si>
    <t>LAURA PERDOMO</t>
  </si>
  <si>
    <t xml:space="preserve">YAQUELIN OSPINA </t>
  </si>
  <si>
    <t xml:space="preserve">DIEGO AGUIRRE </t>
  </si>
  <si>
    <t xml:space="preserve">HUBER TIQUE </t>
  </si>
  <si>
    <t xml:space="preserve">MELISSA CORREGIDOR </t>
  </si>
  <si>
    <t>JULIAN SANCHEZ</t>
  </si>
  <si>
    <t xml:space="preserve">RUBIELA CARRION </t>
  </si>
  <si>
    <t>ANDERSON MAYORGA</t>
  </si>
  <si>
    <t xml:space="preserve">CAJEROS EN FORMACION </t>
  </si>
  <si>
    <t>KHAREN ALDANA</t>
  </si>
  <si>
    <t xml:space="preserve">JEIMMY ROZO </t>
  </si>
  <si>
    <t>LAURA RAMIREZ</t>
  </si>
  <si>
    <t xml:space="preserve">SANTIAGO CARVAJAL </t>
  </si>
  <si>
    <t>CRISTIAN BASTO</t>
  </si>
  <si>
    <t>YUNLI FONSECA</t>
  </si>
  <si>
    <t>JENNIFER PATAROYO</t>
  </si>
  <si>
    <t xml:space="preserve">0M </t>
  </si>
  <si>
    <t>NATALIA MARTINEZ</t>
  </si>
  <si>
    <t xml:space="preserve">STIVEN CHIVATA </t>
  </si>
  <si>
    <t>SALOME SARMIENTO</t>
  </si>
  <si>
    <t>GERALDINE SARMIENTO</t>
  </si>
  <si>
    <t xml:space="preserve">JUAN MERCHAN </t>
  </si>
  <si>
    <t>ANGIE YEMAYUZA</t>
  </si>
  <si>
    <t xml:space="preserve">JUAN FELIPE ARDILA </t>
  </si>
  <si>
    <t xml:space="preserve">FULL TIME TEMPORAL </t>
  </si>
  <si>
    <t>JUAN PABLO DIAZ</t>
  </si>
  <si>
    <t>ANDRES MACIAS</t>
  </si>
  <si>
    <t xml:space="preserve">LUISA ANGARITA </t>
  </si>
  <si>
    <t xml:space="preserve">PAULA PARODY </t>
  </si>
  <si>
    <t>KAROLL PADILLA</t>
  </si>
  <si>
    <t xml:space="preserve">NAYIBE MELLIZO </t>
  </si>
  <si>
    <t>SAMUEL GONZALEZ</t>
  </si>
  <si>
    <t>NANY BOLIVAR</t>
  </si>
  <si>
    <t>MARCELA OÑATE</t>
  </si>
  <si>
    <t>JULIAN MARTINEZ</t>
  </si>
  <si>
    <t>ESTEBAN RODRIGUEZ</t>
  </si>
  <si>
    <t>DAVID NAVARRO</t>
  </si>
  <si>
    <t>ADRIANA CASTILLO</t>
  </si>
  <si>
    <t xml:space="preserve">PART-TIME TEMPORAL </t>
  </si>
  <si>
    <t xml:space="preserve">LINA MELO </t>
  </si>
  <si>
    <t xml:space="preserve">JULY USMA </t>
  </si>
  <si>
    <t>MEDIA JORNADA LAURA R</t>
  </si>
  <si>
    <t>MEDIA JORNADA ANGIE</t>
  </si>
  <si>
    <t xml:space="preserve">MEDIA JORNADA LAURA P </t>
  </si>
  <si>
    <t xml:space="preserve">MEDIA JORNADA SANTIAGO </t>
  </si>
  <si>
    <t xml:space="preserve">MEDIA JORNADA STIVEN </t>
  </si>
  <si>
    <t xml:space="preserve">MEDIA JORNADA KHAREN </t>
  </si>
  <si>
    <t>CONFERENCIA JEFES LATAM 2026</t>
  </si>
  <si>
    <t xml:space="preserve">MEDIA JORNADA RUBIELA </t>
  </si>
  <si>
    <t xml:space="preserve">REUNION CONFERENCIA </t>
  </si>
  <si>
    <t>LUNES 6</t>
  </si>
  <si>
    <t>MARTES 7</t>
  </si>
  <si>
    <t>MIERCOLES 8</t>
  </si>
  <si>
    <t>JUEVES 9</t>
  </si>
  <si>
    <t>VIERNES 10</t>
  </si>
  <si>
    <t>SABADO 11</t>
  </si>
  <si>
    <t>DOMINGO 12</t>
  </si>
  <si>
    <t>ADRIANA  CASTILLO</t>
  </si>
  <si>
    <t xml:space="preserve">MEDIA JORNADA GERALDINE </t>
  </si>
  <si>
    <t>MEDIA JORNADA JEIMMY</t>
  </si>
  <si>
    <t>MEDIA JORNADA JULIAN S</t>
  </si>
  <si>
    <t xml:space="preserve">MEDIA JORNADA DIEGO </t>
  </si>
  <si>
    <t>MEDIA JORNADA YUNLI</t>
  </si>
  <si>
    <t xml:space="preserve">MEDIA JORNADA NATALIA </t>
  </si>
  <si>
    <t xml:space="preserve">MEDIA JORNADA JUAN PABLO </t>
  </si>
  <si>
    <t>REUNION MENSUAL</t>
  </si>
  <si>
    <t>SKECHBOOK</t>
  </si>
  <si>
    <t>LUNES 13</t>
  </si>
  <si>
    <t>MARTES 14</t>
  </si>
  <si>
    <t>MIERCOLES 15</t>
  </si>
  <si>
    <t>JUEVES 16</t>
  </si>
  <si>
    <t>VIERNES 17</t>
  </si>
  <si>
    <t>SABADO 18</t>
  </si>
  <si>
    <t>DOMINGO 19</t>
  </si>
  <si>
    <t xml:space="preserve">MEDIA JORNADA SALOME </t>
  </si>
  <si>
    <t>CAP. PLUXXE</t>
  </si>
  <si>
    <t>REUNION COPPAST</t>
  </si>
  <si>
    <t xml:space="preserve">BULK COUNT </t>
  </si>
  <si>
    <t>LUNES 20</t>
  </si>
  <si>
    <t>MARTES 21</t>
  </si>
  <si>
    <t>MIERCOLES 22</t>
  </si>
  <si>
    <t>JUEVES 23</t>
  </si>
  <si>
    <t>VIERNES 24</t>
  </si>
  <si>
    <t>SABADO 25</t>
  </si>
  <si>
    <t>DOMINGO 26</t>
  </si>
  <si>
    <t xml:space="preserve">APOYO CAJA </t>
  </si>
  <si>
    <t>CAP. TRASPASOS Y DEUDORES</t>
  </si>
  <si>
    <t>Reunion workday
11:00 - 11:45</t>
  </si>
  <si>
    <t>LUNES 27</t>
  </si>
  <si>
    <t>MARTES 28</t>
  </si>
  <si>
    <t>MIERCOLES 29</t>
  </si>
  <si>
    <t>JUEVES 30</t>
  </si>
  <si>
    <t>VIERNES 31</t>
  </si>
  <si>
    <t>VACACIONES RUBIELA  AGOSTO</t>
  </si>
  <si>
    <t xml:space="preserve">4 DE AGOSTO AL 18 DE AGOSTO </t>
  </si>
  <si>
    <t>DIEGO AGUIRRE</t>
  </si>
  <si>
    <t xml:space="preserve">KHAREN ALDANA </t>
  </si>
  <si>
    <t>Día bloqueado por estudio</t>
  </si>
  <si>
    <t>ANTES</t>
  </si>
  <si>
    <t>Horario disponible antes de…</t>
  </si>
  <si>
    <t>DESPUES</t>
  </si>
  <si>
    <t>Horario disponible despues de…</t>
  </si>
  <si>
    <t>DISPONIBLE</t>
  </si>
  <si>
    <t>Disponibilidad 100%</t>
  </si>
  <si>
    <t>DISPONIBILIDAD DE PART TIME (Respetar Politicas)</t>
  </si>
  <si>
    <t xml:space="preserve">ASESOR </t>
  </si>
  <si>
    <t xml:space="preserve">LUNES </t>
  </si>
  <si>
    <t xml:space="preserve">MARTES </t>
  </si>
  <si>
    <t>MIERCOLES</t>
  </si>
  <si>
    <t xml:space="preserve">JUEVES 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</si>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</sst>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5"/>
      <color theme="1"/>
      <name val="Arial Black"/>
      <family val="2"/>
    </font>
    <font>
      <sz val="11"/>
      <name val="Aptos Narrow"/>
      <family val="2"/>
    </font>
    <font>
      <b/>
      <sz val="8"/>
      <color rgb="FFFF0000"/>
      <name val="Calibri"/>
      <family val="2"/>
    </font>
    <font>
      <b/>
      <sz val="8"/>
      <color theme="1"/>
      <name val="Calibri"/>
      <family val="2"/>
    </font>
    <font>
      <b/>
      <sz val="15"/>
      <color theme="1"/>
      <name val="Calibri"/>
      <family val="2"/>
    </font>
    <font>
      <b/>
      <sz val="16"/>
      <color theme="1"/>
      <name val="Calibri"/>
      <family val="2"/>
    </font>
    <font>
      <sz val="11"/>
      <color theme="1"/>
      <name val="Aptos Narrow"/>
      <family val="2"/>
    </font>
    <font>
      <b/>
      <sz val="8"/>
      <name val="Calibri"/>
      <family val="2"/>
    </font>
    <font>
      <b/>
      <sz val="12"/>
      <color theme="1"/>
      <name val="Calibri"/>
      <family val="2"/>
    </font>
    <font>
      <sz val="11"/>
      <color rgb="FFFF0000"/>
      <name val="Aptos Narrow"/>
      <family val="2"/>
      <scheme val="minor"/>
    </font>
    <font>
      <b/>
      <sz val="10"/>
      <name val="Calibri"/>
      <family val="2"/>
    </font>
    <font>
      <b/>
      <sz val="9"/>
      <name val="Calibri"/>
      <family val="2"/>
    </font>
    <font>
      <b/>
      <sz val="12"/>
      <name val="Calibri"/>
      <family val="2"/>
    </font>
    <font>
      <b/>
      <sz val="12"/>
      <color rgb="FFFF0000"/>
      <name val="Calibri"/>
      <family val="2"/>
    </font>
    <font>
      <b/>
      <sz val="8"/>
      <color theme="1" tint="0.499984740745262"/>
      <name val="Calibri"/>
      <family val="2"/>
    </font>
    <font>
      <b/>
      <sz val="9"/>
      <color theme="1"/>
      <name val="Calibri"/>
      <family val="2"/>
    </font>
    <font>
      <b/>
      <sz val="6"/>
      <color theme="1"/>
      <name val="Arial Black"/>
      <family val="2"/>
    </font>
    <font>
      <b/>
      <sz val="8"/>
      <color rgb="FF000000"/>
      <name val="Calibri"/>
      <family val="2"/>
    </font>
    <font>
      <b/>
      <sz val="8"/>
      <color rgb="FF000000"/>
      <name val="Calibri"/>
    </font>
    <font>
      <b/>
      <sz val="8"/>
      <color theme="1"/>
      <name val="Calibri"/>
    </font>
    <font>
      <b/>
      <sz val="20"/>
      <color theme="1"/>
      <name val="Calibri"/>
    </font>
    <font>
      <sz val="20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9"/>
      <color rgb="FFFF0000"/>
      <name val="Calibri"/>
      <family val="2"/>
    </font>
    <font>
      <b/>
      <sz val="10"/>
      <name val="Calibri"/>
    </font>
    <font>
      <b/>
      <sz val="8"/>
      <color theme="0"/>
      <name val="Calibri"/>
      <family val="2"/>
    </font>
    <font>
      <b/>
      <sz val="8"/>
      <color theme="6" tint="0.79998168889431442"/>
      <name val="Calibri"/>
      <family val="2"/>
    </font>
    <font>
      <b/>
      <sz val="11"/>
      <color rgb="FF000000"/>
      <name val="Calibri"/>
    </font>
    <font>
      <b/>
      <sz val="10"/>
      <color theme="1"/>
      <name val="Calibri"/>
    </font>
    <font>
      <b/>
      <sz val="9"/>
      <color rgb="FF000000"/>
      <name val="Calibri"/>
      <family val="2"/>
    </font>
    <font>
      <b/>
      <sz val="20"/>
      <color rgb="FFFF0000"/>
      <name val="Calibri"/>
    </font>
    <font>
      <sz val="12"/>
      <color rgb="FF000000"/>
      <name val="Arial"/>
      <family val="2"/>
      <charset val="1"/>
    </font>
    <font>
      <b/>
      <sz val="12"/>
      <color rgb="FF000000"/>
      <name val="Calibri"/>
    </font>
    <font>
      <b/>
      <sz val="11"/>
      <color theme="1"/>
      <name val="Aptos Narrow"/>
      <scheme val="minor"/>
    </font>
    <font>
      <b/>
      <sz val="9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0"/>
      <color rgb="FF000000"/>
      <name val="Calibri"/>
      <family val="2"/>
    </font>
    <font>
      <sz val="11"/>
      <color rgb="FFFF0000"/>
      <name val="Aptos Narrow"/>
      <scheme val="minor"/>
    </font>
    <font>
      <b/>
      <sz val="11"/>
      <color rgb="FF000000"/>
      <name val="Aptos Narrow"/>
      <scheme val="minor"/>
    </font>
    <font>
      <b/>
      <sz val="11"/>
      <color theme="1"/>
      <name val="Calibri"/>
      <family val="2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242424"/>
      <name val="Segoe UI"/>
      <charset val="1"/>
    </font>
    <font>
      <sz val="16"/>
      <color rgb="FF424242"/>
      <name val="Segoe UI"/>
      <charset val="1"/>
    </font>
    <font>
      <b/>
      <sz val="8"/>
      <color theme="5" tint="0.79998168889431442"/>
      <name val="Calibri"/>
      <family val="2"/>
    </font>
    <font>
      <b/>
      <sz val="8"/>
      <color theme="1"/>
      <name val="Aptos Narrow"/>
      <family val="2"/>
      <scheme val="minor"/>
    </font>
    <font>
      <b/>
      <sz val="8"/>
      <color theme="1"/>
      <name val="Aptos Narrow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B050"/>
        <bgColor rgb="FF00B050"/>
      </patternFill>
    </fill>
    <fill>
      <patternFill patternType="solid">
        <fgColor rgb="FFD0D0D0"/>
        <bgColor rgb="FFD0D0D0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theme="0"/>
      </patternFill>
    </fill>
    <fill>
      <patternFill patternType="solid">
        <fgColor rgb="FF00B0F0"/>
        <bgColor theme="0"/>
      </patternFill>
    </fill>
    <fill>
      <patternFill patternType="solid">
        <fgColor rgb="FFFF000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B0F0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79998168889431442"/>
        <bgColor theme="0"/>
      </patternFill>
    </fill>
    <fill>
      <patternFill patternType="solid">
        <fgColor theme="8" tint="0.79998168889431442"/>
        <bgColor theme="0"/>
      </patternFill>
    </fill>
    <fill>
      <patternFill patternType="solid">
        <fgColor theme="6" tint="0.79998168889431442"/>
        <bgColor theme="0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CF3C3"/>
        <bgColor theme="0"/>
      </patternFill>
    </fill>
    <fill>
      <patternFill patternType="solid">
        <fgColor rgb="FFECF3C3"/>
        <bgColor indexed="64"/>
      </patternFill>
    </fill>
    <fill>
      <patternFill patternType="solid">
        <fgColor rgb="FFF3DDE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D86DCD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7030A0"/>
        <bgColor indexed="64"/>
      </patternFill>
    </fill>
  </fills>
  <borders count="232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theme="1"/>
      </left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theme="1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thin">
        <color theme="1"/>
      </right>
      <top style="medium">
        <color rgb="FF00000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medium">
        <color rgb="FF000000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theme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theme="1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theme="1"/>
      </right>
      <top style="medium">
        <color indexed="64"/>
      </top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/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theme="1"/>
      </right>
      <top style="medium">
        <color rgb="FF000000"/>
      </top>
      <bottom/>
      <diagonal/>
    </border>
    <border>
      <left style="medium">
        <color theme="1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theme="1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theme="1"/>
      </top>
      <bottom style="thin">
        <color theme="1"/>
      </bottom>
      <diagonal/>
    </border>
    <border>
      <left/>
      <right style="medium">
        <color rgb="FF000000"/>
      </right>
      <top style="medium">
        <color theme="1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theme="1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theme="1"/>
      </bottom>
      <diagonal/>
    </border>
  </borders>
  <cellStyleXfs count="1">
    <xf numFmtId="0" fontId="0" fillId="0" borderId="0"/>
  </cellStyleXfs>
  <cellXfs count="2367"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vertical="center"/>
    </xf>
    <xf numFmtId="0" fontId="5" fillId="2" borderId="15" xfId="0" applyFont="1" applyFill="1" applyBorder="1" applyAlignment="1">
      <alignment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vertical="center"/>
    </xf>
    <xf numFmtId="0" fontId="5" fillId="2" borderId="28" xfId="0" applyFont="1" applyFill="1" applyBorder="1" applyAlignment="1">
      <alignment vertical="center"/>
    </xf>
    <xf numFmtId="0" fontId="5" fillId="2" borderId="29" xfId="0" applyFont="1" applyFill="1" applyBorder="1" applyAlignment="1">
      <alignment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vertical="center"/>
    </xf>
    <xf numFmtId="0" fontId="8" fillId="0" borderId="0" xfId="0" applyFont="1" applyAlignment="1">
      <alignment horizontal="center"/>
    </xf>
    <xf numFmtId="0" fontId="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5" fillId="2" borderId="50" xfId="0" applyFont="1" applyFill="1" applyBorder="1" applyAlignment="1">
      <alignment horizontal="center" vertical="center"/>
    </xf>
    <xf numFmtId="0" fontId="5" fillId="2" borderId="66" xfId="0" applyFont="1" applyFill="1" applyBorder="1" applyAlignment="1">
      <alignment vertical="center"/>
    </xf>
    <xf numFmtId="0" fontId="5" fillId="2" borderId="67" xfId="0" applyFont="1" applyFill="1" applyBorder="1" applyAlignment="1">
      <alignment vertical="center"/>
    </xf>
    <xf numFmtId="0" fontId="5" fillId="2" borderId="74" xfId="0" applyFont="1" applyFill="1" applyBorder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11" fillId="9" borderId="0" xfId="0" applyFont="1" applyFill="1"/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5" fillId="2" borderId="81" xfId="0" applyFont="1" applyFill="1" applyBorder="1" applyAlignment="1">
      <alignment vertical="center"/>
    </xf>
    <xf numFmtId="0" fontId="5" fillId="2" borderId="82" xfId="0" applyFont="1" applyFill="1" applyBorder="1" applyAlignment="1">
      <alignment vertical="center"/>
    </xf>
    <xf numFmtId="0" fontId="5" fillId="2" borderId="83" xfId="0" applyFont="1" applyFill="1" applyBorder="1" applyAlignment="1">
      <alignment vertical="center"/>
    </xf>
    <xf numFmtId="0" fontId="5" fillId="2" borderId="85" xfId="0" applyFont="1" applyFill="1" applyBorder="1" applyAlignment="1">
      <alignment horizontal="center" vertical="center"/>
    </xf>
    <xf numFmtId="0" fontId="5" fillId="2" borderId="87" xfId="0" applyFont="1" applyFill="1" applyBorder="1" applyAlignment="1">
      <alignment horizontal="center" vertical="center"/>
    </xf>
    <xf numFmtId="0" fontId="5" fillId="2" borderId="88" xfId="0" applyFont="1" applyFill="1" applyBorder="1" applyAlignment="1">
      <alignment horizontal="center" vertical="center"/>
    </xf>
    <xf numFmtId="0" fontId="5" fillId="2" borderId="89" xfId="0" applyFont="1" applyFill="1" applyBorder="1" applyAlignment="1">
      <alignment horizontal="center" vertical="center"/>
    </xf>
    <xf numFmtId="0" fontId="5" fillId="2" borderId="90" xfId="0" applyFont="1" applyFill="1" applyBorder="1" applyAlignment="1">
      <alignment horizontal="center" vertical="center"/>
    </xf>
    <xf numFmtId="0" fontId="5" fillId="2" borderId="91" xfId="0" applyFont="1" applyFill="1" applyBorder="1" applyAlignment="1">
      <alignment horizontal="center" vertical="center"/>
    </xf>
    <xf numFmtId="0" fontId="3" fillId="9" borderId="1" xfId="0" applyFont="1" applyFill="1" applyBorder="1"/>
    <xf numFmtId="0" fontId="5" fillId="2" borderId="98" xfId="0" applyFont="1" applyFill="1" applyBorder="1" applyAlignment="1">
      <alignment vertical="center"/>
    </xf>
    <xf numFmtId="0" fontId="0" fillId="9" borderId="0" xfId="0" applyFill="1"/>
    <xf numFmtId="0" fontId="5" fillId="12" borderId="10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0" fillId="0" borderId="1" xfId="0" applyBorder="1"/>
    <xf numFmtId="0" fontId="9" fillId="2" borderId="1" xfId="0" applyFont="1" applyFill="1" applyBorder="1" applyAlignment="1">
      <alignment horizontal="center" vertical="center"/>
    </xf>
    <xf numFmtId="0" fontId="5" fillId="2" borderId="113" xfId="0" applyFont="1" applyFill="1" applyBorder="1" applyAlignment="1">
      <alignment horizontal="center" vertical="center"/>
    </xf>
    <xf numFmtId="0" fontId="5" fillId="2" borderId="114" xfId="0" applyFont="1" applyFill="1" applyBorder="1" applyAlignment="1">
      <alignment horizontal="center" vertical="center"/>
    </xf>
    <xf numFmtId="0" fontId="5" fillId="2" borderId="115" xfId="0" applyFont="1" applyFill="1" applyBorder="1" applyAlignment="1">
      <alignment vertical="center"/>
    </xf>
    <xf numFmtId="0" fontId="5" fillId="2" borderId="116" xfId="0" applyFont="1" applyFill="1" applyBorder="1" applyAlignment="1">
      <alignment vertical="center"/>
    </xf>
    <xf numFmtId="0" fontId="5" fillId="2" borderId="117" xfId="0" applyFont="1" applyFill="1" applyBorder="1" applyAlignment="1">
      <alignment vertical="center"/>
    </xf>
    <xf numFmtId="0" fontId="5" fillId="2" borderId="109" xfId="0" applyFont="1" applyFill="1" applyBorder="1" applyAlignment="1">
      <alignment horizontal="center" vertical="center"/>
    </xf>
    <xf numFmtId="0" fontId="5" fillId="6" borderId="118" xfId="0" applyFont="1" applyFill="1" applyBorder="1" applyAlignment="1">
      <alignment horizontal="center" vertical="center"/>
    </xf>
    <xf numFmtId="0" fontId="5" fillId="7" borderId="112" xfId="0" applyFont="1" applyFill="1" applyBorder="1" applyAlignment="1">
      <alignment horizontal="center" vertical="center"/>
    </xf>
    <xf numFmtId="0" fontId="5" fillId="8" borderId="119" xfId="0" applyFont="1" applyFill="1" applyBorder="1" applyAlignment="1">
      <alignment horizontal="center" vertical="center"/>
    </xf>
    <xf numFmtId="0" fontId="5" fillId="4" borderId="120" xfId="0" applyFont="1" applyFill="1" applyBorder="1" applyAlignment="1">
      <alignment horizontal="center" vertical="center"/>
    </xf>
    <xf numFmtId="0" fontId="5" fillId="3" borderId="112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0" fontId="9" fillId="9" borderId="40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9" fillId="9" borderId="6" xfId="0" applyFont="1" applyFill="1" applyBorder="1" applyAlignment="1">
      <alignment horizontal="center" vertical="center"/>
    </xf>
    <xf numFmtId="0" fontId="9" fillId="9" borderId="7" xfId="0" applyFont="1" applyFill="1" applyBorder="1" applyAlignment="1">
      <alignment horizontal="center" vertical="center"/>
    </xf>
    <xf numFmtId="0" fontId="9" fillId="9" borderId="8" xfId="0" applyFont="1" applyFill="1" applyBorder="1" applyAlignment="1">
      <alignment horizontal="center" vertical="center"/>
    </xf>
    <xf numFmtId="0" fontId="4" fillId="9" borderId="40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5" fillId="9" borderId="12" xfId="0" applyFont="1" applyFill="1" applyBorder="1" applyAlignment="1">
      <alignment horizontal="center" vertical="center"/>
    </xf>
    <xf numFmtId="0" fontId="5" fillId="9" borderId="13" xfId="0" applyFont="1" applyFill="1" applyBorder="1" applyAlignment="1">
      <alignment horizontal="center" vertical="center"/>
    </xf>
    <xf numFmtId="0" fontId="5" fillId="9" borderId="16" xfId="0" applyFont="1" applyFill="1" applyBorder="1" applyAlignment="1">
      <alignment horizontal="center" vertical="center"/>
    </xf>
    <xf numFmtId="0" fontId="9" fillId="9" borderId="12" xfId="0" applyFont="1" applyFill="1" applyBorder="1" applyAlignment="1">
      <alignment horizontal="center" vertical="center"/>
    </xf>
    <xf numFmtId="0" fontId="9" fillId="9" borderId="13" xfId="0" applyFont="1" applyFill="1" applyBorder="1" applyAlignment="1">
      <alignment horizontal="center" vertical="center"/>
    </xf>
    <xf numFmtId="0" fontId="9" fillId="9" borderId="16" xfId="0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horizontal="center" vertical="center"/>
    </xf>
    <xf numFmtId="0" fontId="4" fillId="9" borderId="13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/>
    </xf>
    <xf numFmtId="0" fontId="5" fillId="9" borderId="38" xfId="0" applyFont="1" applyFill="1" applyBorder="1" applyAlignment="1">
      <alignment horizontal="center" vertical="center"/>
    </xf>
    <xf numFmtId="0" fontId="5" fillId="9" borderId="39" xfId="0" applyFont="1" applyFill="1" applyBorder="1" applyAlignment="1">
      <alignment horizontal="center" vertical="center"/>
    </xf>
    <xf numFmtId="0" fontId="5" fillId="9" borderId="21" xfId="0" applyFont="1" applyFill="1" applyBorder="1" applyAlignment="1">
      <alignment horizontal="center" vertical="center"/>
    </xf>
    <xf numFmtId="0" fontId="9" fillId="9" borderId="38" xfId="0" applyFont="1" applyFill="1" applyBorder="1" applyAlignment="1">
      <alignment horizontal="center" vertical="center"/>
    </xf>
    <xf numFmtId="0" fontId="9" fillId="9" borderId="39" xfId="0" applyFont="1" applyFill="1" applyBorder="1" applyAlignment="1">
      <alignment horizontal="center" vertical="center"/>
    </xf>
    <xf numFmtId="0" fontId="9" fillId="9" borderId="21" xfId="0" applyFont="1" applyFill="1" applyBorder="1" applyAlignment="1">
      <alignment horizontal="center" vertical="center"/>
    </xf>
    <xf numFmtId="0" fontId="9" fillId="9" borderId="22" xfId="0" applyFont="1" applyFill="1" applyBorder="1" applyAlignment="1">
      <alignment horizontal="center" vertical="center"/>
    </xf>
    <xf numFmtId="0" fontId="5" fillId="9" borderId="23" xfId="0" applyFont="1" applyFill="1" applyBorder="1" applyAlignment="1">
      <alignment horizontal="center" vertical="center"/>
    </xf>
    <xf numFmtId="0" fontId="9" fillId="9" borderId="23" xfId="0" applyFont="1" applyFill="1" applyBorder="1" applyAlignment="1">
      <alignment horizontal="center" vertical="center"/>
    </xf>
    <xf numFmtId="0" fontId="4" fillId="9" borderId="38" xfId="0" applyFont="1" applyFill="1" applyBorder="1" applyAlignment="1">
      <alignment horizontal="center" vertical="center"/>
    </xf>
    <xf numFmtId="0" fontId="4" fillId="9" borderId="39" xfId="0" applyFont="1" applyFill="1" applyBorder="1" applyAlignment="1">
      <alignment horizontal="center" vertical="center"/>
    </xf>
    <xf numFmtId="0" fontId="5" fillId="9" borderId="47" xfId="0" applyFont="1" applyFill="1" applyBorder="1" applyAlignment="1">
      <alignment horizontal="center" vertical="center"/>
    </xf>
    <xf numFmtId="0" fontId="5" fillId="9" borderId="58" xfId="0" applyFont="1" applyFill="1" applyBorder="1" applyAlignment="1">
      <alignment horizontal="center" vertical="center"/>
    </xf>
    <xf numFmtId="0" fontId="9" fillId="9" borderId="47" xfId="0" applyFont="1" applyFill="1" applyBorder="1" applyAlignment="1">
      <alignment horizontal="center" vertical="center"/>
    </xf>
    <xf numFmtId="0" fontId="9" fillId="9" borderId="58" xfId="0" applyFont="1" applyFill="1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9" borderId="61" xfId="0" applyFont="1" applyFill="1" applyBorder="1" applyAlignment="1">
      <alignment horizontal="center" vertical="center"/>
    </xf>
    <xf numFmtId="0" fontId="5" fillId="9" borderId="61" xfId="0" applyFont="1" applyFill="1" applyBorder="1" applyAlignment="1">
      <alignment horizontal="center" vertical="center"/>
    </xf>
    <xf numFmtId="0" fontId="9" fillId="9" borderId="9" xfId="0" applyFont="1" applyFill="1" applyBorder="1" applyAlignment="1">
      <alignment horizontal="center" vertical="center"/>
    </xf>
    <xf numFmtId="0" fontId="9" fillId="9" borderId="26" xfId="0" applyFont="1" applyFill="1" applyBorder="1" applyAlignment="1">
      <alignment horizontal="center" vertical="center"/>
    </xf>
    <xf numFmtId="0" fontId="9" fillId="9" borderId="10" xfId="0" applyFont="1" applyFill="1" applyBorder="1" applyAlignment="1">
      <alignment horizontal="center" vertical="center"/>
    </xf>
    <xf numFmtId="0" fontId="5" fillId="9" borderId="49" xfId="0" applyFont="1" applyFill="1" applyBorder="1" applyAlignment="1">
      <alignment horizontal="center" vertical="center"/>
    </xf>
    <xf numFmtId="0" fontId="5" fillId="9" borderId="57" xfId="0" applyFont="1" applyFill="1" applyBorder="1" applyAlignment="1">
      <alignment horizontal="center" vertical="center"/>
    </xf>
    <xf numFmtId="0" fontId="5" fillId="9" borderId="50" xfId="0" applyFont="1" applyFill="1" applyBorder="1" applyAlignment="1">
      <alignment horizontal="center" vertical="center"/>
    </xf>
    <xf numFmtId="0" fontId="9" fillId="9" borderId="49" xfId="0" applyFont="1" applyFill="1" applyBorder="1" applyAlignment="1">
      <alignment horizontal="center" vertical="center"/>
    </xf>
    <xf numFmtId="0" fontId="9" fillId="9" borderId="57" xfId="0" applyFont="1" applyFill="1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9" borderId="62" xfId="0" applyFont="1" applyFill="1" applyBorder="1" applyAlignment="1">
      <alignment horizontal="center" vertical="center"/>
    </xf>
    <xf numFmtId="0" fontId="5" fillId="9" borderId="62" xfId="0" applyFont="1" applyFill="1" applyBorder="1" applyAlignment="1">
      <alignment horizontal="center" vertical="center"/>
    </xf>
    <xf numFmtId="0" fontId="5" fillId="9" borderId="69" xfId="0" applyFont="1" applyFill="1" applyBorder="1" applyAlignment="1">
      <alignment horizontal="center" vertical="center"/>
    </xf>
    <xf numFmtId="0" fontId="5" fillId="9" borderId="70" xfId="0" applyFont="1" applyFill="1" applyBorder="1" applyAlignment="1">
      <alignment horizontal="center" vertical="center"/>
    </xf>
    <xf numFmtId="0" fontId="5" fillId="9" borderId="72" xfId="0" applyFont="1" applyFill="1" applyBorder="1" applyAlignment="1">
      <alignment horizontal="center" vertical="center"/>
    </xf>
    <xf numFmtId="0" fontId="9" fillId="9" borderId="69" xfId="0" applyFont="1" applyFill="1" applyBorder="1" applyAlignment="1">
      <alignment horizontal="center" vertical="center"/>
    </xf>
    <xf numFmtId="0" fontId="9" fillId="9" borderId="70" xfId="0" applyFont="1" applyFill="1" applyBorder="1" applyAlignment="1">
      <alignment horizontal="center" vertical="center"/>
    </xf>
    <xf numFmtId="0" fontId="9" fillId="9" borderId="72" xfId="0" applyFont="1" applyFill="1" applyBorder="1" applyAlignment="1">
      <alignment horizontal="center" vertical="center"/>
    </xf>
    <xf numFmtId="0" fontId="9" fillId="9" borderId="71" xfId="0" applyFont="1" applyFill="1" applyBorder="1" applyAlignment="1">
      <alignment horizontal="center" vertical="center"/>
    </xf>
    <xf numFmtId="0" fontId="4" fillId="9" borderId="21" xfId="0" applyFont="1" applyFill="1" applyBorder="1" applyAlignment="1">
      <alignment horizontal="center" vertical="center"/>
    </xf>
    <xf numFmtId="0" fontId="4" fillId="9" borderId="55" xfId="0" applyFont="1" applyFill="1" applyBorder="1" applyAlignment="1">
      <alignment horizontal="center" vertical="center"/>
    </xf>
    <xf numFmtId="0" fontId="9" fillId="9" borderId="64" xfId="0" applyFont="1" applyFill="1" applyBorder="1" applyAlignment="1">
      <alignment horizontal="center" vertical="center"/>
    </xf>
    <xf numFmtId="0" fontId="5" fillId="9" borderId="107" xfId="0" applyFont="1" applyFill="1" applyBorder="1" applyAlignment="1">
      <alignment horizontal="center" vertical="center"/>
    </xf>
    <xf numFmtId="0" fontId="5" fillId="9" borderId="59" xfId="0" applyFont="1" applyFill="1" applyBorder="1" applyAlignment="1">
      <alignment horizontal="center" vertical="center"/>
    </xf>
    <xf numFmtId="0" fontId="9" fillId="9" borderId="107" xfId="0" applyFont="1" applyFill="1" applyBorder="1" applyAlignment="1">
      <alignment horizontal="center" vertical="center"/>
    </xf>
    <xf numFmtId="0" fontId="9" fillId="9" borderId="59" xfId="0" applyFont="1" applyFill="1" applyBorder="1" applyAlignment="1">
      <alignment horizontal="center" vertical="center"/>
    </xf>
    <xf numFmtId="0" fontId="9" fillId="9" borderId="51" xfId="0" applyFont="1" applyFill="1" applyBorder="1" applyAlignment="1">
      <alignment horizontal="center" vertical="center"/>
    </xf>
    <xf numFmtId="0" fontId="9" fillId="9" borderId="108" xfId="0" applyFont="1" applyFill="1" applyBorder="1" applyAlignment="1">
      <alignment horizontal="center" vertical="center"/>
    </xf>
    <xf numFmtId="0" fontId="5" fillId="9" borderId="108" xfId="0" applyFont="1" applyFill="1" applyBorder="1" applyAlignment="1">
      <alignment horizontal="center" vertical="center"/>
    </xf>
    <xf numFmtId="0" fontId="9" fillId="9" borderId="63" xfId="0" applyFont="1" applyFill="1" applyBorder="1" applyAlignment="1">
      <alignment horizontal="center" vertical="center"/>
    </xf>
    <xf numFmtId="0" fontId="4" fillId="9" borderId="49" xfId="0" applyFont="1" applyFill="1" applyBorder="1" applyAlignment="1">
      <alignment horizontal="center" vertical="center"/>
    </xf>
    <xf numFmtId="0" fontId="4" fillId="9" borderId="57" xfId="0" applyFont="1" applyFill="1" applyBorder="1" applyAlignment="1">
      <alignment horizontal="center" vertical="center"/>
    </xf>
    <xf numFmtId="0" fontId="4" fillId="9" borderId="50" xfId="0" applyFont="1" applyFill="1" applyBorder="1" applyAlignment="1">
      <alignment horizontal="center" vertical="center"/>
    </xf>
    <xf numFmtId="0" fontId="9" fillId="9" borderId="73" xfId="0" applyFont="1" applyFill="1" applyBorder="1" applyAlignment="1">
      <alignment horizontal="center" vertical="center"/>
    </xf>
    <xf numFmtId="0" fontId="4" fillId="9" borderId="59" xfId="0" applyFont="1" applyFill="1" applyBorder="1" applyAlignment="1">
      <alignment horizontal="center" vertical="center"/>
    </xf>
    <xf numFmtId="0" fontId="4" fillId="9" borderId="51" xfId="0" applyFont="1" applyFill="1" applyBorder="1" applyAlignment="1">
      <alignment horizontal="center" vertical="center"/>
    </xf>
    <xf numFmtId="0" fontId="5" fillId="9" borderId="25" xfId="0" applyFont="1" applyFill="1" applyBorder="1" applyAlignment="1">
      <alignment horizontal="center" vertical="center"/>
    </xf>
    <xf numFmtId="0" fontId="5" fillId="9" borderId="26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9" fillId="9" borderId="27" xfId="0" applyFont="1" applyFill="1" applyBorder="1" applyAlignment="1">
      <alignment horizontal="center" vertical="center"/>
    </xf>
    <xf numFmtId="0" fontId="5" fillId="9" borderId="68" xfId="0" applyFont="1" applyFill="1" applyBorder="1" applyAlignment="1">
      <alignment horizontal="center" vertical="center"/>
    </xf>
    <xf numFmtId="0" fontId="5" fillId="9" borderId="76" xfId="0" applyFont="1" applyFill="1" applyBorder="1" applyAlignment="1">
      <alignment horizontal="center" vertical="center"/>
    </xf>
    <xf numFmtId="0" fontId="9" fillId="9" borderId="76" xfId="0" applyFont="1" applyFill="1" applyBorder="1" applyAlignment="1">
      <alignment horizontal="center" vertical="center"/>
    </xf>
    <xf numFmtId="0" fontId="9" fillId="9" borderId="60" xfId="0" applyFont="1" applyFill="1" applyBorder="1" applyAlignment="1">
      <alignment horizontal="center" vertical="center"/>
    </xf>
    <xf numFmtId="0" fontId="4" fillId="9" borderId="64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4" fillId="9" borderId="58" xfId="0" applyFont="1" applyFill="1" applyBorder="1" applyAlignment="1">
      <alignment horizontal="center" vertical="center"/>
    </xf>
    <xf numFmtId="0" fontId="4" fillId="9" borderId="65" xfId="0" applyFont="1" applyFill="1" applyBorder="1" applyAlignment="1">
      <alignment horizontal="center" vertical="center"/>
    </xf>
    <xf numFmtId="0" fontId="5" fillId="9" borderId="60" xfId="0" applyFont="1" applyFill="1" applyBorder="1" applyAlignment="1">
      <alignment horizontal="center" vertical="center"/>
    </xf>
    <xf numFmtId="0" fontId="9" fillId="9" borderId="68" xfId="0" applyFont="1" applyFill="1" applyBorder="1" applyAlignment="1">
      <alignment horizontal="center" vertical="center"/>
    </xf>
    <xf numFmtId="0" fontId="9" fillId="9" borderId="77" xfId="0" applyFont="1" applyFill="1" applyBorder="1" applyAlignment="1">
      <alignment horizontal="center" vertical="center"/>
    </xf>
    <xf numFmtId="0" fontId="4" fillId="9" borderId="102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9" fillId="9" borderId="94" xfId="0" applyFont="1" applyFill="1" applyBorder="1" applyAlignment="1">
      <alignment horizontal="center" vertical="center"/>
    </xf>
    <xf numFmtId="0" fontId="9" fillId="9" borderId="86" xfId="0" applyFont="1" applyFill="1" applyBorder="1" applyAlignment="1">
      <alignment horizontal="center" vertical="center"/>
    </xf>
    <xf numFmtId="0" fontId="9" fillId="9" borderId="92" xfId="0" applyFont="1" applyFill="1" applyBorder="1" applyAlignment="1">
      <alignment horizontal="center" vertical="center"/>
    </xf>
    <xf numFmtId="0" fontId="9" fillId="9" borderId="85" xfId="0" applyFont="1" applyFill="1" applyBorder="1" applyAlignment="1">
      <alignment horizontal="center" vertical="center"/>
    </xf>
    <xf numFmtId="0" fontId="9" fillId="9" borderId="87" xfId="0" applyFont="1" applyFill="1" applyBorder="1" applyAlignment="1">
      <alignment horizontal="center" vertical="center"/>
    </xf>
    <xf numFmtId="0" fontId="4" fillId="9" borderId="85" xfId="0" applyFont="1" applyFill="1" applyBorder="1" applyAlignment="1">
      <alignment horizontal="center" vertical="center"/>
    </xf>
    <xf numFmtId="0" fontId="4" fillId="9" borderId="86" xfId="0" applyFont="1" applyFill="1" applyBorder="1" applyAlignment="1">
      <alignment horizontal="center" vertical="center"/>
    </xf>
    <xf numFmtId="0" fontId="9" fillId="9" borderId="95" xfId="0" applyFont="1" applyFill="1" applyBorder="1" applyAlignment="1">
      <alignment horizontal="center" vertical="center"/>
    </xf>
    <xf numFmtId="0" fontId="9" fillId="9" borderId="84" xfId="0" applyFont="1" applyFill="1" applyBorder="1" applyAlignment="1">
      <alignment horizontal="center" vertical="center"/>
    </xf>
    <xf numFmtId="0" fontId="9" fillId="9" borderId="93" xfId="0" applyFont="1" applyFill="1" applyBorder="1" applyAlignment="1">
      <alignment horizontal="center" vertical="center"/>
    </xf>
    <xf numFmtId="0" fontId="9" fillId="9" borderId="89" xfId="0" applyFont="1" applyFill="1" applyBorder="1" applyAlignment="1">
      <alignment horizontal="center" vertical="center"/>
    </xf>
    <xf numFmtId="0" fontId="4" fillId="9" borderId="84" xfId="0" applyFont="1" applyFill="1" applyBorder="1" applyAlignment="1">
      <alignment horizontal="center" vertical="center"/>
    </xf>
    <xf numFmtId="0" fontId="4" fillId="9" borderId="89" xfId="0" applyFont="1" applyFill="1" applyBorder="1" applyAlignment="1">
      <alignment horizontal="center" vertical="center"/>
    </xf>
    <xf numFmtId="0" fontId="9" fillId="9" borderId="111" xfId="0" applyFont="1" applyFill="1" applyBorder="1" applyAlignment="1">
      <alignment horizontal="center" vertical="center"/>
    </xf>
    <xf numFmtId="0" fontId="9" fillId="14" borderId="5" xfId="0" applyFont="1" applyFill="1" applyBorder="1" applyAlignment="1">
      <alignment horizontal="center" vertical="center"/>
    </xf>
    <xf numFmtId="0" fontId="9" fillId="14" borderId="6" xfId="0" applyFont="1" applyFill="1" applyBorder="1" applyAlignment="1">
      <alignment horizontal="center" vertical="center"/>
    </xf>
    <xf numFmtId="0" fontId="4" fillId="14" borderId="40" xfId="0" applyFont="1" applyFill="1" applyBorder="1" applyAlignment="1">
      <alignment horizontal="center" vertical="center"/>
    </xf>
    <xf numFmtId="0" fontId="4" fillId="14" borderId="5" xfId="0" applyFont="1" applyFill="1" applyBorder="1" applyAlignment="1">
      <alignment horizontal="center" vertical="center"/>
    </xf>
    <xf numFmtId="0" fontId="9" fillId="14" borderId="18" xfId="0" applyFont="1" applyFill="1" applyBorder="1" applyAlignment="1">
      <alignment horizontal="center" vertical="center"/>
    </xf>
    <xf numFmtId="0" fontId="9" fillId="14" borderId="13" xfId="0" applyFont="1" applyFill="1" applyBorder="1" applyAlignment="1">
      <alignment horizontal="center" vertical="center"/>
    </xf>
    <xf numFmtId="0" fontId="9" fillId="14" borderId="16" xfId="0" applyFont="1" applyFill="1" applyBorder="1" applyAlignment="1">
      <alignment horizontal="center" vertical="center"/>
    </xf>
    <xf numFmtId="0" fontId="4" fillId="14" borderId="12" xfId="0" applyFont="1" applyFill="1" applyBorder="1" applyAlignment="1">
      <alignment horizontal="center" vertical="center"/>
    </xf>
    <xf numFmtId="0" fontId="4" fillId="14" borderId="13" xfId="0" applyFont="1" applyFill="1" applyBorder="1" applyAlignment="1">
      <alignment horizontal="center" vertical="center"/>
    </xf>
    <xf numFmtId="0" fontId="4" fillId="14" borderId="14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/>
    </xf>
    <xf numFmtId="0" fontId="9" fillId="14" borderId="84" xfId="0" applyFont="1" applyFill="1" applyBorder="1" applyAlignment="1">
      <alignment horizontal="center" vertical="center"/>
    </xf>
    <xf numFmtId="0" fontId="4" fillId="14" borderId="57" xfId="0" applyFont="1" applyFill="1" applyBorder="1" applyAlignment="1">
      <alignment horizontal="center" vertical="center"/>
    </xf>
    <xf numFmtId="0" fontId="5" fillId="2" borderId="124" xfId="0" applyFont="1" applyFill="1" applyBorder="1" applyAlignment="1">
      <alignment horizontal="center" vertical="center"/>
    </xf>
    <xf numFmtId="0" fontId="5" fillId="2" borderId="125" xfId="0" applyFont="1" applyFill="1" applyBorder="1" applyAlignment="1">
      <alignment horizontal="center" vertical="center"/>
    </xf>
    <xf numFmtId="0" fontId="4" fillId="9" borderId="123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19" fillId="9" borderId="49" xfId="0" applyFont="1" applyFill="1" applyBorder="1" applyAlignment="1">
      <alignment horizontal="center" vertical="center"/>
    </xf>
    <xf numFmtId="0" fontId="19" fillId="9" borderId="57" xfId="0" applyFont="1" applyFill="1" applyBorder="1" applyAlignment="1">
      <alignment horizontal="center" vertical="center"/>
    </xf>
    <xf numFmtId="0" fontId="19" fillId="9" borderId="12" xfId="0" applyFont="1" applyFill="1" applyBorder="1" applyAlignment="1">
      <alignment horizontal="center" vertical="center"/>
    </xf>
    <xf numFmtId="0" fontId="19" fillId="9" borderId="13" xfId="0" applyFont="1" applyFill="1" applyBorder="1" applyAlignment="1">
      <alignment horizontal="center" vertical="center"/>
    </xf>
    <xf numFmtId="0" fontId="19" fillId="9" borderId="16" xfId="0" applyFont="1" applyFill="1" applyBorder="1" applyAlignment="1">
      <alignment horizontal="center" vertical="center"/>
    </xf>
    <xf numFmtId="0" fontId="19" fillId="9" borderId="44" xfId="0" applyFont="1" applyFill="1" applyBorder="1" applyAlignment="1">
      <alignment horizontal="center" vertical="center"/>
    </xf>
    <xf numFmtId="0" fontId="19" fillId="9" borderId="55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vertical="center"/>
    </xf>
    <xf numFmtId="0" fontId="19" fillId="9" borderId="14" xfId="0" applyFont="1" applyFill="1" applyBorder="1" applyAlignment="1">
      <alignment horizontal="center" vertical="center"/>
    </xf>
    <xf numFmtId="0" fontId="19" fillId="14" borderId="38" xfId="0" applyFont="1" applyFill="1" applyBorder="1" applyAlignment="1">
      <alignment horizontal="center" vertical="center"/>
    </xf>
    <xf numFmtId="0" fontId="19" fillId="14" borderId="39" xfId="0" applyFont="1" applyFill="1" applyBorder="1" applyAlignment="1">
      <alignment horizontal="center" vertical="center"/>
    </xf>
    <xf numFmtId="0" fontId="19" fillId="14" borderId="21" xfId="0" applyFont="1" applyFill="1" applyBorder="1" applyAlignment="1">
      <alignment horizontal="center" vertical="center"/>
    </xf>
    <xf numFmtId="0" fontId="19" fillId="9" borderId="39" xfId="0" applyFont="1" applyFill="1" applyBorder="1" applyAlignment="1">
      <alignment horizontal="center" vertical="center"/>
    </xf>
    <xf numFmtId="0" fontId="19" fillId="14" borderId="44" xfId="0" applyFont="1" applyFill="1" applyBorder="1" applyAlignment="1">
      <alignment horizontal="center" vertical="center"/>
    </xf>
    <xf numFmtId="0" fontId="19" fillId="14" borderId="13" xfId="0" applyFont="1" applyFill="1" applyBorder="1" applyAlignment="1">
      <alignment horizontal="center" vertical="center"/>
    </xf>
    <xf numFmtId="0" fontId="19" fillId="14" borderId="55" xfId="0" applyFont="1" applyFill="1" applyBorder="1" applyAlignment="1">
      <alignment horizontal="center" vertical="center"/>
    </xf>
    <xf numFmtId="0" fontId="1" fillId="0" borderId="1" xfId="0" applyFont="1" applyBorder="1"/>
    <xf numFmtId="0" fontId="9" fillId="14" borderId="76" xfId="0" applyFont="1" applyFill="1" applyBorder="1" applyAlignment="1">
      <alignment horizontal="center" vertical="center"/>
    </xf>
    <xf numFmtId="0" fontId="5" fillId="14" borderId="57" xfId="0" applyFont="1" applyFill="1" applyBorder="1" applyAlignment="1">
      <alignment horizontal="center" vertical="center"/>
    </xf>
    <xf numFmtId="0" fontId="5" fillId="14" borderId="62" xfId="0" applyFont="1" applyFill="1" applyBorder="1" applyAlignment="1">
      <alignment horizontal="center" vertical="center"/>
    </xf>
    <xf numFmtId="0" fontId="5" fillId="16" borderId="24" xfId="0" applyFont="1" applyFill="1" applyBorder="1" applyAlignment="1">
      <alignment vertical="center"/>
    </xf>
    <xf numFmtId="0" fontId="5" fillId="16" borderId="29" xfId="0" applyFont="1" applyFill="1" applyBorder="1" applyAlignment="1">
      <alignment vertical="center"/>
    </xf>
    <xf numFmtId="0" fontId="1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9" fillId="14" borderId="38" xfId="0" applyFont="1" applyFill="1" applyBorder="1" applyAlignment="1">
      <alignment horizontal="center" vertical="center"/>
    </xf>
    <xf numFmtId="0" fontId="9" fillId="14" borderId="39" xfId="0" applyFont="1" applyFill="1" applyBorder="1" applyAlignment="1">
      <alignment horizontal="center" vertical="center"/>
    </xf>
    <xf numFmtId="0" fontId="4" fillId="14" borderId="38" xfId="0" applyFont="1" applyFill="1" applyBorder="1" applyAlignment="1">
      <alignment horizontal="center" vertical="center"/>
    </xf>
    <xf numFmtId="0" fontId="4" fillId="14" borderId="39" xfId="0" applyFont="1" applyFill="1" applyBorder="1" applyAlignment="1">
      <alignment horizontal="center" vertical="center"/>
    </xf>
    <xf numFmtId="0" fontId="4" fillId="14" borderId="21" xfId="0" applyFont="1" applyFill="1" applyBorder="1" applyAlignment="1">
      <alignment horizontal="center" vertical="center"/>
    </xf>
    <xf numFmtId="0" fontId="4" fillId="14" borderId="70" xfId="0" applyFont="1" applyFill="1" applyBorder="1" applyAlignment="1">
      <alignment horizontal="center" vertical="center"/>
    </xf>
    <xf numFmtId="0" fontId="5" fillId="2" borderId="138" xfId="0" applyFont="1" applyFill="1" applyBorder="1" applyAlignment="1">
      <alignment horizontal="center" vertical="center"/>
    </xf>
    <xf numFmtId="0" fontId="5" fillId="9" borderId="141" xfId="0" applyFont="1" applyFill="1" applyBorder="1" applyAlignment="1">
      <alignment horizontal="center" vertical="center"/>
    </xf>
    <xf numFmtId="0" fontId="4" fillId="14" borderId="73" xfId="0" applyFont="1" applyFill="1" applyBorder="1" applyAlignment="1">
      <alignment horizontal="center" vertical="center"/>
    </xf>
    <xf numFmtId="0" fontId="9" fillId="14" borderId="40" xfId="0" applyFont="1" applyFill="1" applyBorder="1" applyAlignment="1">
      <alignment horizontal="center" vertical="center"/>
    </xf>
    <xf numFmtId="0" fontId="9" fillId="14" borderId="145" xfId="0" applyFont="1" applyFill="1" applyBorder="1" applyAlignment="1">
      <alignment horizontal="center" vertical="center"/>
    </xf>
    <xf numFmtId="0" fontId="5" fillId="14" borderId="70" xfId="0" applyFont="1" applyFill="1" applyBorder="1" applyAlignment="1">
      <alignment horizontal="center" vertical="center"/>
    </xf>
    <xf numFmtId="0" fontId="9" fillId="14" borderId="93" xfId="0" applyFont="1" applyFill="1" applyBorder="1" applyAlignment="1">
      <alignment horizontal="center" vertical="center"/>
    </xf>
    <xf numFmtId="0" fontId="4" fillId="14" borderId="49" xfId="0" applyFont="1" applyFill="1" applyBorder="1" applyAlignment="1">
      <alignment horizontal="center" vertical="center"/>
    </xf>
    <xf numFmtId="0" fontId="9" fillId="14" borderId="70" xfId="0" applyFont="1" applyFill="1" applyBorder="1" applyAlignment="1">
      <alignment horizontal="center" vertical="center"/>
    </xf>
    <xf numFmtId="0" fontId="9" fillId="14" borderId="71" xfId="0" applyFont="1" applyFill="1" applyBorder="1" applyAlignment="1">
      <alignment horizontal="center" vertical="center"/>
    </xf>
    <xf numFmtId="0" fontId="5" fillId="14" borderId="12" xfId="0" applyFont="1" applyFill="1" applyBorder="1" applyAlignment="1">
      <alignment horizontal="center" vertical="center"/>
    </xf>
    <xf numFmtId="0" fontId="5" fillId="14" borderId="13" xfId="0" applyFont="1" applyFill="1" applyBorder="1" applyAlignment="1">
      <alignment horizontal="center" vertical="center"/>
    </xf>
    <xf numFmtId="0" fontId="9" fillId="14" borderId="148" xfId="0" applyFont="1" applyFill="1" applyBorder="1" applyAlignment="1">
      <alignment horizontal="center" vertical="center"/>
    </xf>
    <xf numFmtId="0" fontId="9" fillId="19" borderId="57" xfId="0" applyFont="1" applyFill="1" applyBorder="1" applyAlignment="1">
      <alignment horizontal="center" vertical="center"/>
    </xf>
    <xf numFmtId="0" fontId="5" fillId="2" borderId="150" xfId="0" applyFont="1" applyFill="1" applyBorder="1" applyAlignment="1">
      <alignment horizontal="center" vertical="center"/>
    </xf>
    <xf numFmtId="0" fontId="5" fillId="2" borderId="151" xfId="0" applyFont="1" applyFill="1" applyBorder="1" applyAlignment="1">
      <alignment horizontal="center" vertical="center"/>
    </xf>
    <xf numFmtId="0" fontId="5" fillId="9" borderId="152" xfId="0" applyFont="1" applyFill="1" applyBorder="1" applyAlignment="1">
      <alignment horizontal="center" vertical="center"/>
    </xf>
    <xf numFmtId="0" fontId="5" fillId="9" borderId="153" xfId="0" applyFont="1" applyFill="1" applyBorder="1" applyAlignment="1">
      <alignment horizontal="center" vertical="center"/>
    </xf>
    <xf numFmtId="0" fontId="5" fillId="9" borderId="155" xfId="0" applyFont="1" applyFill="1" applyBorder="1" applyAlignment="1">
      <alignment horizontal="center" vertical="center"/>
    </xf>
    <xf numFmtId="0" fontId="9" fillId="9" borderId="152" xfId="0" applyFont="1" applyFill="1" applyBorder="1" applyAlignment="1">
      <alignment horizontal="center" vertical="center"/>
    </xf>
    <xf numFmtId="0" fontId="9" fillId="9" borderId="153" xfId="0" applyFont="1" applyFill="1" applyBorder="1" applyAlignment="1">
      <alignment horizontal="center" vertical="center"/>
    </xf>
    <xf numFmtId="0" fontId="9" fillId="9" borderId="155" xfId="0" applyFont="1" applyFill="1" applyBorder="1" applyAlignment="1">
      <alignment horizontal="center" vertical="center"/>
    </xf>
    <xf numFmtId="0" fontId="4" fillId="9" borderId="26" xfId="0" applyFont="1" applyFill="1" applyBorder="1" applyAlignment="1">
      <alignment horizontal="center" vertical="center"/>
    </xf>
    <xf numFmtId="0" fontId="5" fillId="9" borderId="132" xfId="0" applyFont="1" applyFill="1" applyBorder="1" applyAlignment="1">
      <alignment horizontal="center" vertical="center"/>
    </xf>
    <xf numFmtId="0" fontId="9" fillId="9" borderId="132" xfId="0" applyFont="1" applyFill="1" applyBorder="1" applyAlignment="1">
      <alignment horizontal="center" vertical="center"/>
    </xf>
    <xf numFmtId="0" fontId="9" fillId="9" borderId="25" xfId="0" applyFont="1" applyFill="1" applyBorder="1" applyAlignment="1">
      <alignment horizontal="center" vertical="center"/>
    </xf>
    <xf numFmtId="0" fontId="5" fillId="9" borderId="131" xfId="0" applyFont="1" applyFill="1" applyBorder="1" applyAlignment="1">
      <alignment horizontal="center" vertical="center"/>
    </xf>
    <xf numFmtId="0" fontId="9" fillId="9" borderId="131" xfId="0" applyFont="1" applyFill="1" applyBorder="1" applyAlignment="1">
      <alignment horizontal="center" vertical="center"/>
    </xf>
    <xf numFmtId="0" fontId="9" fillId="9" borderId="157" xfId="0" applyFont="1" applyFill="1" applyBorder="1" applyAlignment="1">
      <alignment horizontal="center" vertical="center"/>
    </xf>
    <xf numFmtId="0" fontId="4" fillId="9" borderId="25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5" fillId="9" borderId="157" xfId="0" applyFont="1" applyFill="1" applyBorder="1" applyAlignment="1">
      <alignment horizontal="center" vertical="center"/>
    </xf>
    <xf numFmtId="0" fontId="4" fillId="9" borderId="16" xfId="0" applyFont="1" applyFill="1" applyBorder="1" applyAlignment="1">
      <alignment horizontal="center" vertical="center"/>
    </xf>
    <xf numFmtId="0" fontId="5" fillId="14" borderId="16" xfId="0" applyFont="1" applyFill="1" applyBorder="1" applyAlignment="1">
      <alignment horizontal="center" vertical="center"/>
    </xf>
    <xf numFmtId="0" fontId="9" fillId="14" borderId="25" xfId="0" applyFont="1" applyFill="1" applyBorder="1" applyAlignment="1">
      <alignment horizontal="center" vertical="center"/>
    </xf>
    <xf numFmtId="0" fontId="9" fillId="14" borderId="26" xfId="0" applyFont="1" applyFill="1" applyBorder="1" applyAlignment="1">
      <alignment horizontal="center" vertical="center"/>
    </xf>
    <xf numFmtId="0" fontId="9" fillId="14" borderId="132" xfId="0" applyFont="1" applyFill="1" applyBorder="1" applyAlignment="1">
      <alignment horizontal="center" vertical="center"/>
    </xf>
    <xf numFmtId="0" fontId="9" fillId="14" borderId="157" xfId="0" applyFont="1" applyFill="1" applyBorder="1" applyAlignment="1">
      <alignment horizontal="center" vertical="center"/>
    </xf>
    <xf numFmtId="0" fontId="4" fillId="14" borderId="63" xfId="0" applyFont="1" applyFill="1" applyBorder="1" applyAlignment="1">
      <alignment horizontal="center" vertical="center"/>
    </xf>
    <xf numFmtId="0" fontId="4" fillId="14" borderId="58" xfId="0" applyFont="1" applyFill="1" applyBorder="1" applyAlignment="1">
      <alignment horizontal="center" vertical="center"/>
    </xf>
    <xf numFmtId="0" fontId="4" fillId="14" borderId="48" xfId="0" applyFont="1" applyFill="1" applyBorder="1" applyAlignment="1">
      <alignment horizontal="center" vertical="center"/>
    </xf>
    <xf numFmtId="0" fontId="5" fillId="14" borderId="58" xfId="0" applyFont="1" applyFill="1" applyBorder="1" applyAlignment="1">
      <alignment horizontal="center" vertical="center"/>
    </xf>
    <xf numFmtId="0" fontId="5" fillId="14" borderId="6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24" fillId="9" borderId="1" xfId="0" applyFont="1" applyFill="1" applyBorder="1" applyAlignment="1">
      <alignment horizontal="center"/>
    </xf>
    <xf numFmtId="0" fontId="4" fillId="14" borderId="50" xfId="0" applyFont="1" applyFill="1" applyBorder="1" applyAlignment="1">
      <alignment horizontal="center" vertical="center"/>
    </xf>
    <xf numFmtId="0" fontId="9" fillId="14" borderId="21" xfId="0" applyFont="1" applyFill="1" applyBorder="1" applyAlignment="1">
      <alignment horizontal="center" vertical="center"/>
    </xf>
    <xf numFmtId="0" fontId="9" fillId="14" borderId="12" xfId="0" applyFont="1" applyFill="1" applyBorder="1" applyAlignment="1">
      <alignment horizontal="center" vertical="center"/>
    </xf>
    <xf numFmtId="0" fontId="9" fillId="14" borderId="10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59" xfId="0" applyFont="1" applyFill="1" applyBorder="1" applyAlignment="1">
      <alignment vertical="center"/>
    </xf>
    <xf numFmtId="0" fontId="5" fillId="2" borderId="160" xfId="0" applyFont="1" applyFill="1" applyBorder="1" applyAlignment="1">
      <alignment vertical="center"/>
    </xf>
    <xf numFmtId="0" fontId="19" fillId="9" borderId="50" xfId="0" applyFont="1" applyFill="1" applyBorder="1" applyAlignment="1">
      <alignment horizontal="center" vertical="center"/>
    </xf>
    <xf numFmtId="0" fontId="9" fillId="14" borderId="131" xfId="0" applyFont="1" applyFill="1" applyBorder="1" applyAlignment="1">
      <alignment horizontal="center" vertical="center"/>
    </xf>
    <xf numFmtId="0" fontId="5" fillId="2" borderId="133" xfId="0" applyFont="1" applyFill="1" applyBorder="1" applyAlignment="1">
      <alignment horizontal="center" vertical="center"/>
    </xf>
    <xf numFmtId="0" fontId="5" fillId="14" borderId="131" xfId="0" applyFont="1" applyFill="1" applyBorder="1" applyAlignment="1">
      <alignment horizontal="center" vertical="center"/>
    </xf>
    <xf numFmtId="0" fontId="5" fillId="14" borderId="132" xfId="0" applyFont="1" applyFill="1" applyBorder="1" applyAlignment="1">
      <alignment horizontal="center" vertical="center"/>
    </xf>
    <xf numFmtId="0" fontId="5" fillId="14" borderId="157" xfId="0" applyFont="1" applyFill="1" applyBorder="1" applyAlignment="1">
      <alignment horizontal="center" vertical="center"/>
    </xf>
    <xf numFmtId="0" fontId="5" fillId="14" borderId="25" xfId="0" applyFont="1" applyFill="1" applyBorder="1" applyAlignment="1">
      <alignment horizontal="center" vertical="center"/>
    </xf>
    <xf numFmtId="0" fontId="5" fillId="14" borderId="26" xfId="0" applyFont="1" applyFill="1" applyBorder="1" applyAlignment="1">
      <alignment horizontal="center" vertical="center"/>
    </xf>
    <xf numFmtId="0" fontId="5" fillId="14" borderId="10" xfId="0" applyFont="1" applyFill="1" applyBorder="1" applyAlignment="1">
      <alignment horizontal="center" vertical="center"/>
    </xf>
    <xf numFmtId="0" fontId="4" fillId="9" borderId="69" xfId="0" applyFont="1" applyFill="1" applyBorder="1" applyAlignment="1">
      <alignment horizontal="center" vertical="center"/>
    </xf>
    <xf numFmtId="0" fontId="4" fillId="9" borderId="70" xfId="0" applyFont="1" applyFill="1" applyBorder="1" applyAlignment="1">
      <alignment horizontal="center" vertical="center"/>
    </xf>
    <xf numFmtId="0" fontId="4" fillId="14" borderId="68" xfId="0" applyFont="1" applyFill="1" applyBorder="1" applyAlignment="1">
      <alignment horizontal="center" vertical="center"/>
    </xf>
    <xf numFmtId="0" fontId="4" fillId="14" borderId="76" xfId="0" applyFont="1" applyFill="1" applyBorder="1" applyAlignment="1">
      <alignment horizontal="center" vertical="center"/>
    </xf>
    <xf numFmtId="0" fontId="4" fillId="14" borderId="60" xfId="0" applyFont="1" applyFill="1" applyBorder="1" applyAlignment="1">
      <alignment horizontal="center" vertical="center"/>
    </xf>
    <xf numFmtId="0" fontId="9" fillId="14" borderId="60" xfId="0" applyFont="1" applyFill="1" applyBorder="1" applyAlignment="1">
      <alignment horizontal="center" vertical="center"/>
    </xf>
    <xf numFmtId="0" fontId="19" fillId="9" borderId="69" xfId="0" applyFont="1" applyFill="1" applyBorder="1" applyAlignment="1">
      <alignment horizontal="center" vertical="center"/>
    </xf>
    <xf numFmtId="0" fontId="19" fillId="9" borderId="70" xfId="0" applyFont="1" applyFill="1" applyBorder="1" applyAlignment="1">
      <alignment horizontal="center" vertical="center"/>
    </xf>
    <xf numFmtId="0" fontId="19" fillId="9" borderId="72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19" fillId="9" borderId="25" xfId="0" applyFont="1" applyFill="1" applyBorder="1" applyAlignment="1">
      <alignment horizontal="center" vertical="center"/>
    </xf>
    <xf numFmtId="0" fontId="19" fillId="9" borderId="26" xfId="0" applyFont="1" applyFill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vertical="center"/>
    </xf>
    <xf numFmtId="0" fontId="9" fillId="9" borderId="1" xfId="0" applyFont="1" applyFill="1" applyBorder="1" applyAlignment="1">
      <alignment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2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vertical="center"/>
    </xf>
    <xf numFmtId="0" fontId="5" fillId="19" borderId="17" xfId="0" applyFont="1" applyFill="1" applyBorder="1" applyAlignment="1">
      <alignment vertical="center"/>
    </xf>
    <xf numFmtId="0" fontId="5" fillId="19" borderId="20" xfId="0" applyFont="1" applyFill="1" applyBorder="1" applyAlignment="1">
      <alignment vertical="center"/>
    </xf>
    <xf numFmtId="0" fontId="9" fillId="16" borderId="12" xfId="0" applyFont="1" applyFill="1" applyBorder="1" applyAlignment="1">
      <alignment horizontal="center" vertical="center"/>
    </xf>
    <xf numFmtId="0" fontId="9" fillId="16" borderId="13" xfId="0" applyFont="1" applyFill="1" applyBorder="1" applyAlignment="1">
      <alignment horizontal="center" vertical="center"/>
    </xf>
    <xf numFmtId="0" fontId="9" fillId="16" borderId="16" xfId="0" applyFont="1" applyFill="1" applyBorder="1" applyAlignment="1">
      <alignment horizontal="center" vertical="center"/>
    </xf>
    <xf numFmtId="0" fontId="11" fillId="9" borderId="1" xfId="0" applyFont="1" applyFill="1" applyBorder="1"/>
    <xf numFmtId="0" fontId="4" fillId="14" borderId="22" xfId="0" applyFont="1" applyFill="1" applyBorder="1" applyAlignment="1">
      <alignment horizontal="center" vertical="center"/>
    </xf>
    <xf numFmtId="0" fontId="9" fillId="14" borderId="23" xfId="0" applyFont="1" applyFill="1" applyBorder="1" applyAlignment="1">
      <alignment horizontal="center" vertical="center"/>
    </xf>
    <xf numFmtId="0" fontId="19" fillId="9" borderId="23" xfId="0" applyFont="1" applyFill="1" applyBorder="1" applyAlignment="1">
      <alignment horizontal="center" vertical="center"/>
    </xf>
    <xf numFmtId="0" fontId="19" fillId="9" borderId="22" xfId="0" applyFont="1" applyFill="1" applyBorder="1" applyAlignment="1">
      <alignment horizontal="center" vertical="center"/>
    </xf>
    <xf numFmtId="0" fontId="9" fillId="9" borderId="145" xfId="0" applyFont="1" applyFill="1" applyBorder="1" applyAlignment="1">
      <alignment horizontal="center" vertical="center"/>
    </xf>
    <xf numFmtId="0" fontId="9" fillId="9" borderId="146" xfId="0" applyFont="1" applyFill="1" applyBorder="1" applyAlignment="1">
      <alignment horizontal="center" vertical="center"/>
    </xf>
    <xf numFmtId="0" fontId="9" fillId="9" borderId="148" xfId="0" applyFont="1" applyFill="1" applyBorder="1" applyAlignment="1">
      <alignment horizontal="center" vertical="center"/>
    </xf>
    <xf numFmtId="0" fontId="9" fillId="14" borderId="146" xfId="0" applyFont="1" applyFill="1" applyBorder="1" applyAlignment="1">
      <alignment horizontal="center" vertical="center"/>
    </xf>
    <xf numFmtId="0" fontId="4" fillId="14" borderId="6" xfId="0" applyFont="1" applyFill="1" applyBorder="1" applyAlignment="1">
      <alignment horizontal="center" vertical="center"/>
    </xf>
    <xf numFmtId="0" fontId="5" fillId="19" borderId="12" xfId="0" applyFont="1" applyFill="1" applyBorder="1" applyAlignment="1">
      <alignment horizontal="center" vertical="center"/>
    </xf>
    <xf numFmtId="0" fontId="5" fillId="19" borderId="13" xfId="0" applyFont="1" applyFill="1" applyBorder="1" applyAlignment="1">
      <alignment horizontal="center" vertical="center"/>
    </xf>
    <xf numFmtId="0" fontId="5" fillId="19" borderId="16" xfId="0" applyFont="1" applyFill="1" applyBorder="1" applyAlignment="1">
      <alignment horizontal="center" vertical="center"/>
    </xf>
    <xf numFmtId="0" fontId="5" fillId="19" borderId="38" xfId="0" applyFont="1" applyFill="1" applyBorder="1" applyAlignment="1">
      <alignment horizontal="center" vertical="center"/>
    </xf>
    <xf numFmtId="0" fontId="5" fillId="19" borderId="39" xfId="0" applyFont="1" applyFill="1" applyBorder="1" applyAlignment="1">
      <alignment horizontal="center" vertical="center"/>
    </xf>
    <xf numFmtId="0" fontId="5" fillId="19" borderId="21" xfId="0" applyFont="1" applyFill="1" applyBorder="1" applyAlignment="1">
      <alignment horizontal="center" vertical="center"/>
    </xf>
    <xf numFmtId="0" fontId="9" fillId="19" borderId="62" xfId="0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horizontal="center" vertical="center"/>
    </xf>
    <xf numFmtId="0" fontId="9" fillId="14" borderId="14" xfId="0" applyFont="1" applyFill="1" applyBorder="1" applyAlignment="1">
      <alignment horizontal="center" vertical="center"/>
    </xf>
    <xf numFmtId="0" fontId="19" fillId="14" borderId="5" xfId="0" applyFont="1" applyFill="1" applyBorder="1" applyAlignment="1">
      <alignment horizontal="center" vertical="center"/>
    </xf>
    <xf numFmtId="0" fontId="5" fillId="9" borderId="15" xfId="0" applyFont="1" applyFill="1" applyBorder="1" applyAlignment="1">
      <alignment vertical="center"/>
    </xf>
    <xf numFmtId="0" fontId="9" fillId="14" borderId="69" xfId="0" applyFont="1" applyFill="1" applyBorder="1" applyAlignment="1">
      <alignment horizontal="center" vertical="center"/>
    </xf>
    <xf numFmtId="0" fontId="4" fillId="9" borderId="71" xfId="0" applyFont="1" applyFill="1" applyBorder="1" applyAlignment="1">
      <alignment horizontal="center" vertical="center"/>
    </xf>
    <xf numFmtId="0" fontId="4" fillId="9" borderId="141" xfId="0" applyFont="1" applyFill="1" applyBorder="1" applyAlignment="1">
      <alignment horizontal="center" vertical="center"/>
    </xf>
    <xf numFmtId="0" fontId="4" fillId="9" borderId="131" xfId="0" applyFont="1" applyFill="1" applyBorder="1" applyAlignment="1">
      <alignment horizontal="center" vertical="center"/>
    </xf>
    <xf numFmtId="0" fontId="4" fillId="9" borderId="132" xfId="0" applyFont="1" applyFill="1" applyBorder="1" applyAlignment="1">
      <alignment horizontal="center" vertical="center"/>
    </xf>
    <xf numFmtId="0" fontId="4" fillId="9" borderId="157" xfId="0" applyFont="1" applyFill="1" applyBorder="1" applyAlignment="1">
      <alignment horizontal="center" vertical="center"/>
    </xf>
    <xf numFmtId="0" fontId="16" fillId="9" borderId="16" xfId="0" applyFont="1" applyFill="1" applyBorder="1" applyAlignment="1">
      <alignment horizontal="center" vertical="center"/>
    </xf>
    <xf numFmtId="0" fontId="4" fillId="14" borderId="88" xfId="0" applyFont="1" applyFill="1" applyBorder="1" applyAlignment="1">
      <alignment horizontal="center" vertical="center"/>
    </xf>
    <xf numFmtId="0" fontId="4" fillId="14" borderId="84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0" fontId="5" fillId="26" borderId="3" xfId="0" applyFont="1" applyFill="1" applyBorder="1" applyAlignment="1">
      <alignment horizontal="center" vertical="center"/>
    </xf>
    <xf numFmtId="0" fontId="5" fillId="26" borderId="4" xfId="0" applyFont="1" applyFill="1" applyBorder="1" applyAlignment="1">
      <alignment vertical="center"/>
    </xf>
    <xf numFmtId="0" fontId="5" fillId="26" borderId="17" xfId="0" applyFont="1" applyFill="1" applyBorder="1" applyAlignment="1">
      <alignment vertical="center"/>
    </xf>
    <xf numFmtId="0" fontId="5" fillId="26" borderId="20" xfId="0" applyFont="1" applyFill="1" applyBorder="1" applyAlignment="1">
      <alignment vertical="center"/>
    </xf>
    <xf numFmtId="0" fontId="5" fillId="27" borderId="24" xfId="0" applyFont="1" applyFill="1" applyBorder="1" applyAlignment="1">
      <alignment vertical="center"/>
    </xf>
    <xf numFmtId="0" fontId="5" fillId="27" borderId="80" xfId="0" applyFont="1" applyFill="1" applyBorder="1" applyAlignment="1">
      <alignment vertical="center"/>
    </xf>
    <xf numFmtId="0" fontId="5" fillId="27" borderId="29" xfId="0" applyFont="1" applyFill="1" applyBorder="1" applyAlignment="1">
      <alignment vertical="center"/>
    </xf>
    <xf numFmtId="0" fontId="5" fillId="27" borderId="3" xfId="0" applyFont="1" applyFill="1" applyBorder="1" applyAlignment="1">
      <alignment vertical="center"/>
    </xf>
    <xf numFmtId="0" fontId="5" fillId="19" borderId="97" xfId="0" applyFont="1" applyFill="1" applyBorder="1" applyAlignment="1">
      <alignment vertical="center"/>
    </xf>
    <xf numFmtId="0" fontId="5" fillId="14" borderId="39" xfId="0" applyFont="1" applyFill="1" applyBorder="1" applyAlignment="1">
      <alignment horizontal="center" vertical="center"/>
    </xf>
    <xf numFmtId="0" fontId="9" fillId="19" borderId="141" xfId="0" applyFont="1" applyFill="1" applyBorder="1" applyAlignment="1">
      <alignment horizontal="center" vertical="center"/>
    </xf>
    <xf numFmtId="0" fontId="9" fillId="9" borderId="141" xfId="0" applyFont="1" applyFill="1" applyBorder="1" applyAlignment="1">
      <alignment horizontal="center" vertical="center"/>
    </xf>
    <xf numFmtId="0" fontId="9" fillId="9" borderId="161" xfId="0" applyFont="1" applyFill="1" applyBorder="1" applyAlignment="1">
      <alignment horizontal="center" vertical="center"/>
    </xf>
    <xf numFmtId="0" fontId="9" fillId="9" borderId="165" xfId="0" applyFont="1" applyFill="1" applyBorder="1" applyAlignment="1">
      <alignment horizontal="center" vertical="center"/>
    </xf>
    <xf numFmtId="0" fontId="5" fillId="9" borderId="123" xfId="0" applyFont="1" applyFill="1" applyBorder="1" applyAlignment="1">
      <alignment horizontal="center" vertical="center"/>
    </xf>
    <xf numFmtId="0" fontId="19" fillId="9" borderId="141" xfId="0" applyFont="1" applyFill="1" applyBorder="1" applyAlignment="1">
      <alignment horizontal="center" vertical="center"/>
    </xf>
    <xf numFmtId="0" fontId="5" fillId="9" borderId="161" xfId="0" applyFont="1" applyFill="1" applyBorder="1" applyAlignment="1">
      <alignment horizontal="center" vertical="center"/>
    </xf>
    <xf numFmtId="0" fontId="5" fillId="9" borderId="40" xfId="0" applyFont="1" applyFill="1" applyBorder="1" applyAlignment="1">
      <alignment horizontal="center" vertical="center"/>
    </xf>
    <xf numFmtId="0" fontId="5" fillId="14" borderId="38" xfId="0" applyFont="1" applyFill="1" applyBorder="1" applyAlignment="1">
      <alignment horizontal="center" vertical="center"/>
    </xf>
    <xf numFmtId="0" fontId="5" fillId="14" borderId="40" xfId="0" applyFont="1" applyFill="1" applyBorder="1" applyAlignment="1">
      <alignment horizontal="center" vertical="center"/>
    </xf>
    <xf numFmtId="0" fontId="5" fillId="14" borderId="21" xfId="0" applyFont="1" applyFill="1" applyBorder="1" applyAlignment="1">
      <alignment horizontal="center" vertical="center"/>
    </xf>
    <xf numFmtId="0" fontId="9" fillId="14" borderId="161" xfId="0" applyFont="1" applyFill="1" applyBorder="1" applyAlignment="1">
      <alignment horizontal="center" vertical="center"/>
    </xf>
    <xf numFmtId="0" fontId="5" fillId="14" borderId="6" xfId="0" applyFont="1" applyFill="1" applyBorder="1" applyAlignment="1">
      <alignment horizontal="center" vertical="center"/>
    </xf>
    <xf numFmtId="0" fontId="4" fillId="14" borderId="16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vertical="center"/>
    </xf>
    <xf numFmtId="0" fontId="5" fillId="2" borderId="16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vertical="center"/>
    </xf>
    <xf numFmtId="0" fontId="5" fillId="2" borderId="162" xfId="0" applyFont="1" applyFill="1" applyBorder="1" applyAlignment="1">
      <alignment vertical="center"/>
    </xf>
    <xf numFmtId="0" fontId="4" fillId="23" borderId="12" xfId="0" applyFont="1" applyFill="1" applyBorder="1" applyAlignment="1">
      <alignment horizontal="center" vertical="center"/>
    </xf>
    <xf numFmtId="0" fontId="4" fillId="23" borderId="13" xfId="0" applyFont="1" applyFill="1" applyBorder="1" applyAlignment="1">
      <alignment horizontal="center" vertical="center"/>
    </xf>
    <xf numFmtId="0" fontId="19" fillId="14" borderId="7" xfId="0" applyFont="1" applyFill="1" applyBorder="1" applyAlignment="1">
      <alignment horizontal="center" vertical="center"/>
    </xf>
    <xf numFmtId="0" fontId="19" fillId="23" borderId="12" xfId="0" applyFont="1" applyFill="1" applyBorder="1" applyAlignment="1">
      <alignment horizontal="center" vertical="center"/>
    </xf>
    <xf numFmtId="0" fontId="19" fillId="23" borderId="13" xfId="0" applyFont="1" applyFill="1" applyBorder="1" applyAlignment="1">
      <alignment horizontal="center" vertical="center"/>
    </xf>
    <xf numFmtId="0" fontId="19" fillId="23" borderId="16" xfId="0" applyFont="1" applyFill="1" applyBorder="1" applyAlignment="1">
      <alignment horizontal="center" vertical="center"/>
    </xf>
    <xf numFmtId="0" fontId="5" fillId="29" borderId="12" xfId="0" applyFont="1" applyFill="1" applyBorder="1" applyAlignment="1">
      <alignment horizontal="center" vertical="center"/>
    </xf>
    <xf numFmtId="0" fontId="5" fillId="29" borderId="13" xfId="0" applyFont="1" applyFill="1" applyBorder="1" applyAlignment="1">
      <alignment horizontal="center" vertical="center"/>
    </xf>
    <xf numFmtId="0" fontId="5" fillId="29" borderId="16" xfId="0" applyFont="1" applyFill="1" applyBorder="1" applyAlignment="1">
      <alignment horizontal="center" vertical="center"/>
    </xf>
    <xf numFmtId="0" fontId="9" fillId="9" borderId="38" xfId="0" applyFont="1" applyFill="1" applyBorder="1" applyAlignment="1">
      <alignment vertical="center"/>
    </xf>
    <xf numFmtId="0" fontId="9" fillId="9" borderId="39" xfId="0" applyFont="1" applyFill="1" applyBorder="1" applyAlignment="1">
      <alignment vertical="center"/>
    </xf>
    <xf numFmtId="0" fontId="9" fillId="9" borderId="2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3" fillId="0" borderId="1" xfId="0" applyFont="1" applyBorder="1"/>
    <xf numFmtId="0" fontId="2" fillId="2" borderId="1" xfId="0" applyFont="1" applyFill="1" applyBorder="1" applyAlignment="1">
      <alignment vertical="center"/>
    </xf>
    <xf numFmtId="0" fontId="23" fillId="9" borderId="1" xfId="0" applyFont="1" applyFill="1" applyBorder="1" applyAlignment="1">
      <alignment horizontal="center"/>
    </xf>
    <xf numFmtId="0" fontId="9" fillId="22" borderId="65" xfId="0" applyFont="1" applyFill="1" applyBorder="1" applyAlignment="1">
      <alignment horizontal="center" vertical="center"/>
    </xf>
    <xf numFmtId="0" fontId="9" fillId="22" borderId="59" xfId="0" applyFont="1" applyFill="1" applyBorder="1" applyAlignment="1">
      <alignment horizontal="center" vertical="center"/>
    </xf>
    <xf numFmtId="0" fontId="9" fillId="22" borderId="51" xfId="0" applyFont="1" applyFill="1" applyBorder="1" applyAlignment="1">
      <alignment horizontal="center" vertical="center"/>
    </xf>
    <xf numFmtId="0" fontId="5" fillId="9" borderId="154" xfId="0" applyFont="1" applyFill="1" applyBorder="1" applyAlignment="1">
      <alignment horizontal="center" vertical="center"/>
    </xf>
    <xf numFmtId="0" fontId="5" fillId="9" borderId="39" xfId="0" applyFont="1" applyFill="1" applyBorder="1" applyAlignment="1">
      <alignment vertical="center"/>
    </xf>
    <xf numFmtId="0" fontId="5" fillId="9" borderId="21" xfId="0" applyFont="1" applyFill="1" applyBorder="1" applyAlignment="1">
      <alignment vertical="center"/>
    </xf>
    <xf numFmtId="0" fontId="9" fillId="14" borderId="79" xfId="0" applyFont="1" applyFill="1" applyBorder="1" applyAlignment="1">
      <alignment horizontal="center" vertical="center"/>
    </xf>
    <xf numFmtId="0" fontId="4" fillId="9" borderId="152" xfId="0" applyFont="1" applyFill="1" applyBorder="1" applyAlignment="1">
      <alignment horizontal="center" vertical="center"/>
    </xf>
    <xf numFmtId="0" fontId="4" fillId="9" borderId="153" xfId="0" applyFont="1" applyFill="1" applyBorder="1" applyAlignment="1">
      <alignment horizontal="center" vertical="center"/>
    </xf>
    <xf numFmtId="0" fontId="4" fillId="9" borderId="155" xfId="0" applyFont="1" applyFill="1" applyBorder="1" applyAlignment="1">
      <alignment horizontal="center" vertical="center"/>
    </xf>
    <xf numFmtId="0" fontId="4" fillId="14" borderId="69" xfId="0" applyFont="1" applyFill="1" applyBorder="1" applyAlignment="1">
      <alignment horizontal="center" vertical="center"/>
    </xf>
    <xf numFmtId="0" fontId="4" fillId="14" borderId="72" xfId="0" applyFont="1" applyFill="1" applyBorder="1" applyAlignment="1">
      <alignment horizontal="center" vertical="center"/>
    </xf>
    <xf numFmtId="0" fontId="4" fillId="14" borderId="156" xfId="0" applyFont="1" applyFill="1" applyBorder="1" applyAlignment="1">
      <alignment horizontal="center" vertical="center"/>
    </xf>
    <xf numFmtId="0" fontId="4" fillId="14" borderId="56" xfId="0" applyFont="1" applyFill="1" applyBorder="1" applyAlignment="1">
      <alignment horizontal="center" vertical="center"/>
    </xf>
    <xf numFmtId="0" fontId="5" fillId="16" borderId="12" xfId="0" applyFont="1" applyFill="1" applyBorder="1" applyAlignment="1">
      <alignment horizontal="center" vertical="center"/>
    </xf>
    <xf numFmtId="0" fontId="5" fillId="16" borderId="13" xfId="0" applyFont="1" applyFill="1" applyBorder="1" applyAlignment="1">
      <alignment horizontal="center" vertical="center"/>
    </xf>
    <xf numFmtId="0" fontId="5" fillId="16" borderId="16" xfId="0" applyFont="1" applyFill="1" applyBorder="1" applyAlignment="1">
      <alignment horizontal="center" vertical="center"/>
    </xf>
    <xf numFmtId="0" fontId="17" fillId="9" borderId="35" xfId="0" applyFont="1" applyFill="1" applyBorder="1" applyAlignment="1">
      <alignment vertical="center" wrapText="1"/>
    </xf>
    <xf numFmtId="0" fontId="17" fillId="9" borderId="37" xfId="0" applyFont="1" applyFill="1" applyBorder="1" applyAlignment="1">
      <alignment vertical="center" wrapText="1"/>
    </xf>
    <xf numFmtId="0" fontId="17" fillId="9" borderId="36" xfId="0" applyFont="1" applyFill="1" applyBorder="1" applyAlignment="1">
      <alignment vertical="center" wrapText="1"/>
    </xf>
    <xf numFmtId="0" fontId="9" fillId="9" borderId="18" xfId="0" applyFont="1" applyFill="1" applyBorder="1" applyAlignment="1">
      <alignment horizontal="center" vertical="center"/>
    </xf>
    <xf numFmtId="0" fontId="19" fillId="9" borderId="38" xfId="0" applyFont="1" applyFill="1" applyBorder="1" applyAlignment="1">
      <alignment horizontal="center" vertical="center"/>
    </xf>
    <xf numFmtId="0" fontId="19" fillId="9" borderId="21" xfId="0" applyFont="1" applyFill="1" applyBorder="1" applyAlignment="1">
      <alignment horizontal="center" vertical="center"/>
    </xf>
    <xf numFmtId="0" fontId="4" fillId="9" borderId="144" xfId="0" applyFont="1" applyFill="1" applyBorder="1" applyAlignment="1">
      <alignment horizontal="center" vertical="center"/>
    </xf>
    <xf numFmtId="0" fontId="4" fillId="9" borderId="145" xfId="0" applyFont="1" applyFill="1" applyBorder="1" applyAlignment="1">
      <alignment horizontal="center" vertical="center"/>
    </xf>
    <xf numFmtId="0" fontId="5" fillId="9" borderId="8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5" fillId="9" borderId="22" xfId="0" applyFont="1" applyFill="1" applyBorder="1" applyAlignment="1">
      <alignment horizontal="center" vertical="center"/>
    </xf>
    <xf numFmtId="0" fontId="9" fillId="14" borderId="8" xfId="0" applyFont="1" applyFill="1" applyBorder="1" applyAlignment="1">
      <alignment horizontal="center" vertical="center"/>
    </xf>
    <xf numFmtId="0" fontId="4" fillId="14" borderId="71" xfId="0" applyFont="1" applyFill="1" applyBorder="1" applyAlignment="1">
      <alignment horizontal="center" vertical="center"/>
    </xf>
    <xf numFmtId="0" fontId="9" fillId="14" borderId="22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0" fontId="5" fillId="14" borderId="18" xfId="0" applyFont="1" applyFill="1" applyBorder="1" applyAlignment="1">
      <alignment horizontal="center" vertical="center"/>
    </xf>
    <xf numFmtId="0" fontId="9" fillId="9" borderId="133" xfId="0" applyFont="1" applyFill="1" applyBorder="1" applyAlignment="1">
      <alignment horizontal="center" vertical="center"/>
    </xf>
    <xf numFmtId="0" fontId="4" fillId="9" borderId="146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4" fillId="9" borderId="23" xfId="0" applyFont="1" applyFill="1" applyBorder="1" applyAlignment="1">
      <alignment horizontal="center" vertical="center"/>
    </xf>
    <xf numFmtId="0" fontId="4" fillId="9" borderId="95" xfId="0" applyFont="1" applyFill="1" applyBorder="1" applyAlignment="1">
      <alignment horizontal="center" vertical="center"/>
    </xf>
    <xf numFmtId="0" fontId="19" fillId="14" borderId="12" xfId="0" applyFont="1" applyFill="1" applyBorder="1" applyAlignment="1">
      <alignment horizontal="center" vertical="center"/>
    </xf>
    <xf numFmtId="0" fontId="19" fillId="14" borderId="18" xfId="0" applyFont="1" applyFill="1" applyBorder="1" applyAlignment="1">
      <alignment horizontal="center" vertical="center"/>
    </xf>
    <xf numFmtId="0" fontId="19" fillId="14" borderId="14" xfId="0" applyFont="1" applyFill="1" applyBorder="1" applyAlignment="1">
      <alignment horizontal="center" vertical="center"/>
    </xf>
    <xf numFmtId="0" fontId="9" fillId="14" borderId="147" xfId="0" applyFont="1" applyFill="1" applyBorder="1" applyAlignment="1">
      <alignment horizontal="center" vertical="center"/>
    </xf>
    <xf numFmtId="0" fontId="9" fillId="14" borderId="144" xfId="0" applyFont="1" applyFill="1" applyBorder="1" applyAlignment="1">
      <alignment horizontal="center" vertical="center"/>
    </xf>
    <xf numFmtId="0" fontId="9" fillId="14" borderId="88" xfId="0" applyFont="1" applyFill="1" applyBorder="1" applyAlignment="1">
      <alignment horizontal="center" vertical="center"/>
    </xf>
    <xf numFmtId="0" fontId="5" fillId="14" borderId="14" xfId="0" applyFont="1" applyFill="1" applyBorder="1" applyAlignment="1">
      <alignment horizontal="center" vertical="center"/>
    </xf>
    <xf numFmtId="0" fontId="19" fillId="14" borderId="16" xfId="0" applyFont="1" applyFill="1" applyBorder="1" applyAlignment="1">
      <alignment horizontal="center" vertical="center"/>
    </xf>
    <xf numFmtId="0" fontId="5" fillId="9" borderId="179" xfId="0" applyFont="1" applyFill="1" applyBorder="1" applyAlignment="1">
      <alignment horizontal="center" vertical="center"/>
    </xf>
    <xf numFmtId="0" fontId="5" fillId="9" borderId="27" xfId="0" applyFont="1" applyFill="1" applyBorder="1" applyAlignment="1">
      <alignment horizontal="center" vertical="center"/>
    </xf>
    <xf numFmtId="0" fontId="5" fillId="18" borderId="167" xfId="0" applyFont="1" applyFill="1" applyBorder="1" applyAlignment="1">
      <alignment vertical="center"/>
    </xf>
    <xf numFmtId="0" fontId="4" fillId="14" borderId="131" xfId="0" applyFont="1" applyFill="1" applyBorder="1" applyAlignment="1">
      <alignment horizontal="center" vertical="center"/>
    </xf>
    <xf numFmtId="0" fontId="4" fillId="14" borderId="132" xfId="0" applyFont="1" applyFill="1" applyBorder="1" applyAlignment="1">
      <alignment horizontal="center" vertical="center"/>
    </xf>
    <xf numFmtId="0" fontId="4" fillId="20" borderId="12" xfId="0" applyFont="1" applyFill="1" applyBorder="1" applyAlignment="1">
      <alignment horizontal="center" vertical="center"/>
    </xf>
    <xf numFmtId="0" fontId="4" fillId="20" borderId="13" xfId="0" applyFont="1" applyFill="1" applyBorder="1" applyAlignment="1">
      <alignment horizontal="center" vertical="center"/>
    </xf>
    <xf numFmtId="0" fontId="5" fillId="2" borderId="130" xfId="0" applyFont="1" applyFill="1" applyBorder="1" applyAlignment="1">
      <alignment horizontal="center" vertical="center"/>
    </xf>
    <xf numFmtId="0" fontId="5" fillId="26" borderId="3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6" borderId="24" xfId="0" applyFont="1" applyFill="1" applyBorder="1" applyAlignment="1">
      <alignment vertical="center"/>
    </xf>
    <xf numFmtId="0" fontId="4" fillId="20" borderId="25" xfId="0" applyFont="1" applyFill="1" applyBorder="1" applyAlignment="1">
      <alignment horizontal="center" vertical="center"/>
    </xf>
    <xf numFmtId="0" fontId="4" fillId="20" borderId="26" xfId="0" applyFont="1" applyFill="1" applyBorder="1" applyAlignment="1">
      <alignment horizontal="center" vertical="center"/>
    </xf>
    <xf numFmtId="0" fontId="9" fillId="14" borderId="9" xfId="0" applyFont="1" applyFill="1" applyBorder="1" applyAlignment="1">
      <alignment horizontal="center" vertical="center"/>
    </xf>
    <xf numFmtId="0" fontId="5" fillId="14" borderId="27" xfId="0" applyFont="1" applyFill="1" applyBorder="1" applyAlignment="1">
      <alignment horizontal="center" vertical="center"/>
    </xf>
    <xf numFmtId="0" fontId="9" fillId="18" borderId="9" xfId="0" applyFont="1" applyFill="1" applyBorder="1" applyAlignment="1">
      <alignment horizontal="center" vertical="center"/>
    </xf>
    <xf numFmtId="0" fontId="9" fillId="18" borderId="26" xfId="0" applyFont="1" applyFill="1" applyBorder="1" applyAlignment="1">
      <alignment horizontal="center" vertical="center"/>
    </xf>
    <xf numFmtId="0" fontId="9" fillId="16" borderId="26" xfId="0" applyFont="1" applyFill="1" applyBorder="1" applyAlignment="1">
      <alignment horizontal="center" vertical="center"/>
    </xf>
    <xf numFmtId="0" fontId="9" fillId="16" borderId="10" xfId="0" applyFont="1" applyFill="1" applyBorder="1" applyAlignment="1">
      <alignment horizontal="center" vertical="center"/>
    </xf>
    <xf numFmtId="0" fontId="5" fillId="26" borderId="29" xfId="0" applyFont="1" applyFill="1" applyBorder="1" applyAlignment="1">
      <alignment vertical="center"/>
    </xf>
    <xf numFmtId="0" fontId="5" fillId="14" borderId="133" xfId="0" applyFont="1" applyFill="1" applyBorder="1" applyAlignment="1">
      <alignment horizontal="center" vertical="center"/>
    </xf>
    <xf numFmtId="0" fontId="9" fillId="18" borderId="179" xfId="0" applyFont="1" applyFill="1" applyBorder="1" applyAlignment="1">
      <alignment horizontal="center" vertical="center"/>
    </xf>
    <xf numFmtId="0" fontId="9" fillId="18" borderId="132" xfId="0" applyFont="1" applyFill="1" applyBorder="1" applyAlignment="1">
      <alignment horizontal="center" vertical="center"/>
    </xf>
    <xf numFmtId="0" fontId="9" fillId="16" borderId="132" xfId="0" applyFont="1" applyFill="1" applyBorder="1" applyAlignment="1">
      <alignment horizontal="center" vertical="center"/>
    </xf>
    <xf numFmtId="0" fontId="9" fillId="16" borderId="157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6" borderId="35" xfId="0" applyFont="1" applyFill="1" applyBorder="1" applyAlignment="1">
      <alignment vertical="center"/>
    </xf>
    <xf numFmtId="0" fontId="4" fillId="9" borderId="180" xfId="0" applyFont="1" applyFill="1" applyBorder="1" applyAlignment="1">
      <alignment horizontal="center" vertical="center"/>
    </xf>
    <xf numFmtId="0" fontId="4" fillId="9" borderId="181" xfId="0" applyFont="1" applyFill="1" applyBorder="1" applyAlignment="1">
      <alignment horizontal="center" vertical="center"/>
    </xf>
    <xf numFmtId="0" fontId="9" fillId="9" borderId="181" xfId="0" applyFont="1" applyFill="1" applyBorder="1" applyAlignment="1">
      <alignment horizontal="center" vertical="center"/>
    </xf>
    <xf numFmtId="0" fontId="5" fillId="14" borderId="181" xfId="0" applyFont="1" applyFill="1" applyBorder="1" applyAlignment="1">
      <alignment horizontal="center" vertical="center"/>
    </xf>
    <xf numFmtId="0" fontId="5" fillId="14" borderId="184" xfId="0" applyFont="1" applyFill="1" applyBorder="1" applyAlignment="1">
      <alignment horizontal="center" vertical="center"/>
    </xf>
    <xf numFmtId="0" fontId="5" fillId="9" borderId="180" xfId="0" applyFont="1" applyFill="1" applyBorder="1" applyAlignment="1">
      <alignment horizontal="center" vertical="center"/>
    </xf>
    <xf numFmtId="0" fontId="5" fillId="9" borderId="181" xfId="0" applyFont="1" applyFill="1" applyBorder="1" applyAlignment="1">
      <alignment horizontal="center" vertical="center"/>
    </xf>
    <xf numFmtId="0" fontId="5" fillId="9" borderId="182" xfId="0" applyFont="1" applyFill="1" applyBorder="1" applyAlignment="1">
      <alignment horizontal="center" vertical="center"/>
    </xf>
    <xf numFmtId="0" fontId="9" fillId="14" borderId="183" xfId="0" applyFont="1" applyFill="1" applyBorder="1" applyAlignment="1">
      <alignment horizontal="center" vertical="center"/>
    </xf>
    <xf numFmtId="0" fontId="9" fillId="14" borderId="181" xfId="0" applyFont="1" applyFill="1" applyBorder="1" applyAlignment="1">
      <alignment horizontal="center" vertical="center"/>
    </xf>
    <xf numFmtId="0" fontId="9" fillId="16" borderId="181" xfId="0" applyFont="1" applyFill="1" applyBorder="1" applyAlignment="1">
      <alignment horizontal="center" vertical="center"/>
    </xf>
    <xf numFmtId="0" fontId="9" fillId="16" borderId="184" xfId="0" applyFont="1" applyFill="1" applyBorder="1" applyAlignment="1">
      <alignment horizontal="center" vertical="center"/>
    </xf>
    <xf numFmtId="0" fontId="5" fillId="26" borderId="33" xfId="0" applyFont="1" applyFill="1" applyBorder="1" applyAlignment="1">
      <alignment vertical="center"/>
    </xf>
    <xf numFmtId="0" fontId="5" fillId="2" borderId="185" xfId="0" applyFont="1" applyFill="1" applyBorder="1" applyAlignment="1">
      <alignment horizontal="center" vertical="center"/>
    </xf>
    <xf numFmtId="0" fontId="5" fillId="2" borderId="186" xfId="0" applyFont="1" applyFill="1" applyBorder="1" applyAlignment="1">
      <alignment vertical="center"/>
    </xf>
    <xf numFmtId="0" fontId="5" fillId="2" borderId="187" xfId="0" applyFont="1" applyFill="1" applyBorder="1" applyAlignment="1">
      <alignment vertical="center"/>
    </xf>
    <xf numFmtId="0" fontId="5" fillId="2" borderId="188" xfId="0" applyFont="1" applyFill="1" applyBorder="1" applyAlignment="1">
      <alignment horizontal="center" vertical="center"/>
    </xf>
    <xf numFmtId="0" fontId="5" fillId="2" borderId="189" xfId="0" applyFont="1" applyFill="1" applyBorder="1" applyAlignment="1">
      <alignment horizontal="center" vertical="center"/>
    </xf>
    <xf numFmtId="0" fontId="5" fillId="2" borderId="190" xfId="0" applyFont="1" applyFill="1" applyBorder="1" applyAlignment="1">
      <alignment vertical="center"/>
    </xf>
    <xf numFmtId="0" fontId="5" fillId="27" borderId="28" xfId="0" applyFont="1" applyFill="1" applyBorder="1" applyAlignment="1">
      <alignment vertical="center"/>
    </xf>
    <xf numFmtId="0" fontId="5" fillId="9" borderId="14" xfId="0" applyFont="1" applyFill="1" applyBorder="1" applyAlignment="1">
      <alignment horizontal="center" vertical="center"/>
    </xf>
    <xf numFmtId="0" fontId="5" fillId="27" borderId="33" xfId="0" applyFont="1" applyFill="1" applyBorder="1" applyAlignment="1">
      <alignment vertical="center"/>
    </xf>
    <xf numFmtId="0" fontId="5" fillId="27" borderId="15" xfId="0" applyFont="1" applyFill="1" applyBorder="1" applyAlignment="1">
      <alignment vertical="center"/>
    </xf>
    <xf numFmtId="0" fontId="5" fillId="26" borderId="3" xfId="0" applyFont="1" applyFill="1" applyBorder="1" applyAlignment="1">
      <alignment vertical="center"/>
    </xf>
    <xf numFmtId="0" fontId="5" fillId="27" borderId="31" xfId="0" applyFont="1" applyFill="1" applyBorder="1" applyAlignment="1">
      <alignment vertical="center"/>
    </xf>
    <xf numFmtId="0" fontId="5" fillId="26" borderId="34" xfId="0" applyFont="1" applyFill="1" applyBorder="1" applyAlignment="1">
      <alignment vertical="center"/>
    </xf>
    <xf numFmtId="0" fontId="4" fillId="31" borderId="94" xfId="0" applyFont="1" applyFill="1" applyBorder="1" applyAlignment="1">
      <alignment horizontal="center" vertical="center"/>
    </xf>
    <xf numFmtId="0" fontId="4" fillId="31" borderId="86" xfId="0" applyFont="1" applyFill="1" applyBorder="1" applyAlignment="1">
      <alignment horizontal="center" vertical="center"/>
    </xf>
    <xf numFmtId="0" fontId="4" fillId="31" borderId="87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vertical="center"/>
    </xf>
    <xf numFmtId="0" fontId="5" fillId="19" borderId="24" xfId="0" applyFont="1" applyFill="1" applyBorder="1" applyAlignment="1">
      <alignment vertical="center"/>
    </xf>
    <xf numFmtId="0" fontId="5" fillId="19" borderId="28" xfId="0" applyFont="1" applyFill="1" applyBorder="1" applyAlignment="1">
      <alignment vertical="center"/>
    </xf>
    <xf numFmtId="0" fontId="5" fillId="19" borderId="33" xfId="0" applyFont="1" applyFill="1" applyBorder="1" applyAlignment="1">
      <alignment vertical="center"/>
    </xf>
    <xf numFmtId="0" fontId="5" fillId="19" borderId="31" xfId="0" applyFont="1" applyFill="1" applyBorder="1" applyAlignment="1">
      <alignment vertical="center"/>
    </xf>
    <xf numFmtId="0" fontId="17" fillId="9" borderId="80" xfId="0" applyFont="1" applyFill="1" applyBorder="1" applyAlignment="1">
      <alignment vertical="center" wrapText="1"/>
    </xf>
    <xf numFmtId="0" fontId="17" fillId="9" borderId="1" xfId="0" applyFont="1" applyFill="1" applyBorder="1" applyAlignment="1">
      <alignment vertical="center" wrapText="1"/>
    </xf>
    <xf numFmtId="0" fontId="17" fillId="9" borderId="136" xfId="0" applyFont="1" applyFill="1" applyBorder="1" applyAlignment="1">
      <alignment vertical="center" wrapText="1"/>
    </xf>
    <xf numFmtId="0" fontId="5" fillId="32" borderId="5" xfId="0" applyFont="1" applyFill="1" applyBorder="1" applyAlignment="1">
      <alignment horizontal="center" vertical="center"/>
    </xf>
    <xf numFmtId="0" fontId="9" fillId="32" borderId="5" xfId="0" applyFont="1" applyFill="1" applyBorder="1" applyAlignment="1">
      <alignment horizontal="center" vertical="center"/>
    </xf>
    <xf numFmtId="0" fontId="4" fillId="32" borderId="5" xfId="0" applyFont="1" applyFill="1" applyBorder="1" applyAlignment="1">
      <alignment horizontal="center" vertical="center"/>
    </xf>
    <xf numFmtId="0" fontId="5" fillId="2" borderId="168" xfId="0" applyFont="1" applyFill="1" applyBorder="1" applyAlignment="1">
      <alignment horizontal="center" vertical="center"/>
    </xf>
    <xf numFmtId="0" fontId="9" fillId="9" borderId="180" xfId="0" applyFont="1" applyFill="1" applyBorder="1" applyAlignment="1">
      <alignment horizontal="center" vertical="center"/>
    </xf>
    <xf numFmtId="0" fontId="9" fillId="9" borderId="182" xfId="0" applyFont="1" applyFill="1" applyBorder="1" applyAlignment="1">
      <alignment horizontal="center" vertical="center"/>
    </xf>
    <xf numFmtId="0" fontId="9" fillId="14" borderId="27" xfId="0" applyFont="1" applyFill="1" applyBorder="1" applyAlignment="1">
      <alignment horizontal="center" vertical="center"/>
    </xf>
    <xf numFmtId="0" fontId="9" fillId="9" borderId="14" xfId="0" applyFont="1" applyFill="1" applyBorder="1" applyAlignment="1">
      <alignment horizontal="center" vertical="center"/>
    </xf>
    <xf numFmtId="0" fontId="4" fillId="9" borderId="184" xfId="0" applyFont="1" applyFill="1" applyBorder="1" applyAlignment="1">
      <alignment horizontal="center" vertical="center"/>
    </xf>
    <xf numFmtId="0" fontId="4" fillId="20" borderId="10" xfId="0" applyFont="1" applyFill="1" applyBorder="1" applyAlignment="1">
      <alignment horizontal="center" vertical="center"/>
    </xf>
    <xf numFmtId="0" fontId="5" fillId="14" borderId="183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32" borderId="8" xfId="0" applyFont="1" applyFill="1" applyBorder="1" applyAlignment="1">
      <alignment horizontal="center" vertical="center"/>
    </xf>
    <xf numFmtId="0" fontId="5" fillId="14" borderId="9" xfId="0" applyFont="1" applyFill="1" applyBorder="1" applyAlignment="1">
      <alignment horizontal="center" vertical="center"/>
    </xf>
    <xf numFmtId="0" fontId="5" fillId="32" borderId="40" xfId="0" applyFont="1" applyFill="1" applyBorder="1" applyAlignment="1">
      <alignment horizontal="center" vertical="center"/>
    </xf>
    <xf numFmtId="0" fontId="5" fillId="32" borderId="7" xfId="0" applyFont="1" applyFill="1" applyBorder="1" applyAlignment="1">
      <alignment horizontal="center" vertical="center"/>
    </xf>
    <xf numFmtId="0" fontId="5" fillId="32" borderId="6" xfId="0" applyFont="1" applyFill="1" applyBorder="1" applyAlignment="1">
      <alignment horizontal="center" vertical="center"/>
    </xf>
    <xf numFmtId="0" fontId="9" fillId="32" borderId="8" xfId="0" applyFont="1" applyFill="1" applyBorder="1" applyAlignment="1">
      <alignment horizontal="center" vertical="center"/>
    </xf>
    <xf numFmtId="0" fontId="9" fillId="16" borderId="180" xfId="0" applyFont="1" applyFill="1" applyBorder="1" applyAlignment="1">
      <alignment horizontal="center" vertical="center"/>
    </xf>
    <xf numFmtId="0" fontId="9" fillId="16" borderId="25" xfId="0" applyFont="1" applyFill="1" applyBorder="1" applyAlignment="1">
      <alignment horizontal="center" vertical="center"/>
    </xf>
    <xf numFmtId="0" fontId="9" fillId="16" borderId="131" xfId="0" applyFont="1" applyFill="1" applyBorder="1" applyAlignment="1">
      <alignment horizontal="center" vertical="center"/>
    </xf>
    <xf numFmtId="0" fontId="9" fillId="32" borderId="40" xfId="0" applyFont="1" applyFill="1" applyBorder="1" applyAlignment="1">
      <alignment horizontal="center" vertical="center"/>
    </xf>
    <xf numFmtId="0" fontId="9" fillId="14" borderId="184" xfId="0" applyFont="1" applyFill="1" applyBorder="1" applyAlignment="1">
      <alignment horizontal="center" vertical="center"/>
    </xf>
    <xf numFmtId="0" fontId="9" fillId="18" borderId="10" xfId="0" applyFont="1" applyFill="1" applyBorder="1" applyAlignment="1">
      <alignment horizontal="center" vertical="center"/>
    </xf>
    <xf numFmtId="0" fontId="9" fillId="18" borderId="157" xfId="0" applyFont="1" applyFill="1" applyBorder="1" applyAlignment="1">
      <alignment horizontal="center" vertical="center"/>
    </xf>
    <xf numFmtId="0" fontId="9" fillId="32" borderId="6" xfId="0" applyFont="1" applyFill="1" applyBorder="1" applyAlignment="1">
      <alignment horizontal="center" vertical="center"/>
    </xf>
    <xf numFmtId="0" fontId="4" fillId="32" borderId="4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2" borderId="164" xfId="0" applyFont="1" applyFill="1" applyBorder="1" applyAlignment="1">
      <alignment horizontal="center" vertical="center"/>
    </xf>
    <xf numFmtId="0" fontId="4" fillId="14" borderId="157" xfId="0" applyFont="1" applyFill="1" applyBorder="1" applyAlignment="1">
      <alignment horizontal="center" vertical="center"/>
    </xf>
    <xf numFmtId="0" fontId="4" fillId="32" borderId="6" xfId="0" applyFont="1" applyFill="1" applyBorder="1" applyAlignment="1">
      <alignment horizontal="center" vertical="center"/>
    </xf>
    <xf numFmtId="0" fontId="5" fillId="2" borderId="97" xfId="0" applyFont="1" applyFill="1" applyBorder="1" applyAlignment="1">
      <alignment horizontal="center" vertical="center"/>
    </xf>
    <xf numFmtId="0" fontId="19" fillId="9" borderId="27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vertical="center"/>
    </xf>
    <xf numFmtId="0" fontId="9" fillId="9" borderId="13" xfId="0" applyFont="1" applyFill="1" applyBorder="1" applyAlignment="1">
      <alignment vertical="center"/>
    </xf>
    <xf numFmtId="0" fontId="5" fillId="9" borderId="13" xfId="0" applyFont="1" applyFill="1" applyBorder="1" applyAlignment="1">
      <alignment vertical="center"/>
    </xf>
    <xf numFmtId="0" fontId="9" fillId="2" borderId="13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5" fillId="2" borderId="179" xfId="0" applyFont="1" applyFill="1" applyBorder="1" applyAlignment="1">
      <alignment horizontal="center" vertical="center"/>
    </xf>
    <xf numFmtId="0" fontId="5" fillId="9" borderId="133" xfId="0" applyFont="1" applyFill="1" applyBorder="1" applyAlignment="1">
      <alignment horizontal="center" vertical="center"/>
    </xf>
    <xf numFmtId="0" fontId="9" fillId="9" borderId="18" xfId="0" applyFont="1" applyFill="1" applyBorder="1" applyAlignment="1">
      <alignment vertical="center"/>
    </xf>
    <xf numFmtId="0" fontId="9" fillId="9" borderId="12" xfId="0" applyFont="1" applyFill="1" applyBorder="1" applyAlignment="1">
      <alignment vertical="center"/>
    </xf>
    <xf numFmtId="0" fontId="9" fillId="9" borderId="14" xfId="0" applyFont="1" applyFill="1" applyBorder="1" applyAlignment="1">
      <alignment vertical="center"/>
    </xf>
    <xf numFmtId="0" fontId="9" fillId="9" borderId="16" xfId="0" applyFont="1" applyFill="1" applyBorder="1" applyAlignment="1">
      <alignment vertical="center"/>
    </xf>
    <xf numFmtId="0" fontId="19" fillId="9" borderId="9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vertical="center"/>
    </xf>
    <xf numFmtId="0" fontId="5" fillId="9" borderId="16" xfId="0" applyFont="1" applyFill="1" applyBorder="1" applyAlignment="1">
      <alignment vertical="center"/>
    </xf>
    <xf numFmtId="0" fontId="9" fillId="2" borderId="18" xfId="0" applyFont="1" applyFill="1" applyBorder="1" applyAlignment="1">
      <alignment horizontal="center" vertical="center"/>
    </xf>
    <xf numFmtId="0" fontId="4" fillId="9" borderId="27" xfId="0" applyFont="1" applyFill="1" applyBorder="1" applyAlignment="1">
      <alignment horizontal="center" vertical="center"/>
    </xf>
    <xf numFmtId="0" fontId="4" fillId="9" borderId="22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5" fillId="18" borderId="191" xfId="0" applyFont="1" applyFill="1" applyBorder="1" applyAlignment="1">
      <alignment vertical="center"/>
    </xf>
    <xf numFmtId="0" fontId="5" fillId="18" borderId="130" xfId="0" applyFont="1" applyFill="1" applyBorder="1" applyAlignment="1">
      <alignment vertical="center"/>
    </xf>
    <xf numFmtId="0" fontId="9" fillId="9" borderId="23" xfId="0" applyFont="1" applyFill="1" applyBorder="1" applyAlignment="1">
      <alignment vertical="center"/>
    </xf>
    <xf numFmtId="0" fontId="9" fillId="9" borderId="22" xfId="0" applyFont="1" applyFill="1" applyBorder="1" applyAlignment="1">
      <alignment vertical="center"/>
    </xf>
    <xf numFmtId="0" fontId="5" fillId="9" borderId="23" xfId="0" applyFont="1" applyFill="1" applyBorder="1" applyAlignment="1">
      <alignment vertical="center"/>
    </xf>
    <xf numFmtId="0" fontId="9" fillId="2" borderId="23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14" borderId="18" xfId="0" applyFont="1" applyFill="1" applyBorder="1" applyAlignment="1">
      <alignment horizontal="center" vertical="center"/>
    </xf>
    <xf numFmtId="0" fontId="4" fillId="9" borderId="18" xfId="0" applyFont="1" applyFill="1" applyBorder="1" applyAlignment="1">
      <alignment horizontal="center" vertical="center"/>
    </xf>
    <xf numFmtId="0" fontId="5" fillId="18" borderId="29" xfId="0" applyFont="1" applyFill="1" applyBorder="1" applyAlignment="1">
      <alignment vertical="center"/>
    </xf>
    <xf numFmtId="0" fontId="5" fillId="14" borderId="23" xfId="0" applyFont="1" applyFill="1" applyBorder="1" applyAlignment="1">
      <alignment horizontal="center" vertical="center"/>
    </xf>
    <xf numFmtId="0" fontId="5" fillId="14" borderId="179" xfId="0" applyFont="1" applyFill="1" applyBorder="1" applyAlignment="1">
      <alignment horizontal="center" vertical="center"/>
    </xf>
    <xf numFmtId="0" fontId="5" fillId="29" borderId="14" xfId="0" applyFont="1" applyFill="1" applyBorder="1" applyAlignment="1">
      <alignment horizontal="center" vertical="center"/>
    </xf>
    <xf numFmtId="0" fontId="9" fillId="16" borderId="9" xfId="0" applyFont="1" applyFill="1" applyBorder="1" applyAlignment="1">
      <alignment horizontal="center" vertical="center"/>
    </xf>
    <xf numFmtId="0" fontId="4" fillId="29" borderId="131" xfId="0" applyFont="1" applyFill="1" applyBorder="1" applyAlignment="1">
      <alignment horizontal="center" vertical="center"/>
    </xf>
    <xf numFmtId="0" fontId="4" fillId="29" borderId="132" xfId="0" applyFont="1" applyFill="1" applyBorder="1" applyAlignment="1">
      <alignment horizontal="center" vertical="center"/>
    </xf>
    <xf numFmtId="0" fontId="5" fillId="29" borderId="132" xfId="0" applyFont="1" applyFill="1" applyBorder="1" applyAlignment="1">
      <alignment horizontal="center" vertical="center"/>
    </xf>
    <xf numFmtId="0" fontId="5" fillId="29" borderId="157" xfId="0" applyFont="1" applyFill="1" applyBorder="1" applyAlignment="1">
      <alignment horizontal="center" vertical="center"/>
    </xf>
    <xf numFmtId="0" fontId="19" fillId="14" borderId="26" xfId="0" applyFont="1" applyFill="1" applyBorder="1" applyAlignment="1">
      <alignment horizontal="center" vertical="center"/>
    </xf>
    <xf numFmtId="0" fontId="19" fillId="9" borderId="181" xfId="0" applyFont="1" applyFill="1" applyBorder="1" applyAlignment="1">
      <alignment horizontal="center" vertical="center"/>
    </xf>
    <xf numFmtId="0" fontId="19" fillId="14" borderId="181" xfId="0" applyFont="1" applyFill="1" applyBorder="1" applyAlignment="1">
      <alignment horizontal="center" vertical="center"/>
    </xf>
    <xf numFmtId="0" fontId="4" fillId="14" borderId="181" xfId="0" applyFont="1" applyFill="1" applyBorder="1" applyAlignment="1">
      <alignment horizontal="center" vertical="center"/>
    </xf>
    <xf numFmtId="0" fontId="19" fillId="22" borderId="25" xfId="0" applyFont="1" applyFill="1" applyBorder="1" applyAlignment="1">
      <alignment horizontal="center" vertical="center"/>
    </xf>
    <xf numFmtId="0" fontId="19" fillId="22" borderId="26" xfId="0" applyFont="1" applyFill="1" applyBorder="1" applyAlignment="1">
      <alignment horizontal="center" vertical="center"/>
    </xf>
    <xf numFmtId="0" fontId="9" fillId="22" borderId="26" xfId="0" applyFont="1" applyFill="1" applyBorder="1" applyAlignment="1">
      <alignment horizontal="center" vertical="center"/>
    </xf>
    <xf numFmtId="0" fontId="4" fillId="22" borderId="26" xfId="0" applyFont="1" applyFill="1" applyBorder="1" applyAlignment="1">
      <alignment horizontal="center" vertical="center"/>
    </xf>
    <xf numFmtId="0" fontId="5" fillId="18" borderId="192" xfId="0" applyFont="1" applyFill="1" applyBorder="1" applyAlignment="1">
      <alignment vertical="center"/>
    </xf>
    <xf numFmtId="0" fontId="5" fillId="29" borderId="26" xfId="0" applyFont="1" applyFill="1" applyBorder="1" applyAlignment="1">
      <alignment horizontal="center" vertical="center"/>
    </xf>
    <xf numFmtId="0" fontId="5" fillId="18" borderId="17" xfId="0" applyFont="1" applyFill="1" applyBorder="1" applyAlignment="1">
      <alignment vertical="center"/>
    </xf>
    <xf numFmtId="0" fontId="5" fillId="18" borderId="168" xfId="0" applyFont="1" applyFill="1" applyBorder="1" applyAlignment="1">
      <alignment vertical="center"/>
    </xf>
    <xf numFmtId="0" fontId="19" fillId="22" borderId="27" xfId="0" applyFont="1" applyFill="1" applyBorder="1" applyAlignment="1">
      <alignment horizontal="center" vertical="center"/>
    </xf>
    <xf numFmtId="0" fontId="19" fillId="9" borderId="183" xfId="0" applyFont="1" applyFill="1" applyBorder="1" applyAlignment="1">
      <alignment horizontal="center" vertical="center"/>
    </xf>
    <xf numFmtId="0" fontId="19" fillId="22" borderId="9" xfId="0" applyFont="1" applyFill="1" applyBorder="1" applyAlignment="1">
      <alignment horizontal="center" vertical="center"/>
    </xf>
    <xf numFmtId="0" fontId="9" fillId="14" borderId="179" xfId="0" applyFont="1" applyFill="1" applyBorder="1" applyAlignment="1">
      <alignment horizontal="center" vertical="center"/>
    </xf>
    <xf numFmtId="0" fontId="19" fillId="14" borderId="25" xfId="0" applyFont="1" applyFill="1" applyBorder="1" applyAlignment="1">
      <alignment horizontal="center" vertical="center"/>
    </xf>
    <xf numFmtId="0" fontId="19" fillId="9" borderId="184" xfId="0" applyFont="1" applyFill="1" applyBorder="1" applyAlignment="1">
      <alignment horizontal="center" vertical="center"/>
    </xf>
    <xf numFmtId="0" fontId="19" fillId="22" borderId="10" xfId="0" applyFont="1" applyFill="1" applyBorder="1" applyAlignment="1">
      <alignment horizontal="center" vertical="center"/>
    </xf>
    <xf numFmtId="0" fontId="19" fillId="14" borderId="9" xfId="0" applyFont="1" applyFill="1" applyBorder="1" applyAlignment="1">
      <alignment horizontal="center" vertical="center"/>
    </xf>
    <xf numFmtId="0" fontId="19" fillId="14" borderId="180" xfId="0" applyFont="1" applyFill="1" applyBorder="1" applyAlignment="1">
      <alignment horizontal="center" vertical="center"/>
    </xf>
    <xf numFmtId="0" fontId="5" fillId="29" borderId="25" xfId="0" applyFont="1" applyFill="1" applyBorder="1" applyAlignment="1">
      <alignment horizontal="center" vertical="center"/>
    </xf>
    <xf numFmtId="0" fontId="19" fillId="14" borderId="10" xfId="0" applyFont="1" applyFill="1" applyBorder="1" applyAlignment="1">
      <alignment horizontal="center" vertical="center"/>
    </xf>
    <xf numFmtId="0" fontId="9" fillId="22" borderId="25" xfId="0" applyFont="1" applyFill="1" applyBorder="1" applyAlignment="1">
      <alignment horizontal="center" vertical="center"/>
    </xf>
    <xf numFmtId="0" fontId="9" fillId="22" borderId="27" xfId="0" applyFont="1" applyFill="1" applyBorder="1" applyAlignment="1">
      <alignment horizontal="center" vertical="center"/>
    </xf>
    <xf numFmtId="0" fontId="5" fillId="29" borderId="10" xfId="0" applyFont="1" applyFill="1" applyBorder="1" applyAlignment="1">
      <alignment horizontal="center" vertical="center"/>
    </xf>
    <xf numFmtId="0" fontId="4" fillId="14" borderId="183" xfId="0" applyFont="1" applyFill="1" applyBorder="1" applyAlignment="1">
      <alignment horizontal="center" vertical="center"/>
    </xf>
    <xf numFmtId="0" fontId="4" fillId="14" borderId="23" xfId="0" applyFont="1" applyFill="1" applyBorder="1" applyAlignment="1">
      <alignment horizontal="center" vertical="center"/>
    </xf>
    <xf numFmtId="0" fontId="4" fillId="22" borderId="9" xfId="0" applyFont="1" applyFill="1" applyBorder="1" applyAlignment="1">
      <alignment horizontal="center" vertical="center"/>
    </xf>
    <xf numFmtId="0" fontId="4" fillId="9" borderId="179" xfId="0" applyFont="1" applyFill="1" applyBorder="1" applyAlignment="1">
      <alignment horizontal="center" vertical="center"/>
    </xf>
    <xf numFmtId="0" fontId="4" fillId="14" borderId="184" xfId="0" applyFont="1" applyFill="1" applyBorder="1" applyAlignment="1">
      <alignment horizontal="center" vertical="center"/>
    </xf>
    <xf numFmtId="0" fontId="4" fillId="22" borderId="10" xfId="0" applyFont="1" applyFill="1" applyBorder="1" applyAlignment="1">
      <alignment horizontal="center" vertical="center"/>
    </xf>
    <xf numFmtId="0" fontId="19" fillId="18" borderId="180" xfId="0" applyFont="1" applyFill="1" applyBorder="1" applyAlignment="1">
      <alignment horizontal="center" vertical="center"/>
    </xf>
    <xf numFmtId="0" fontId="19" fillId="18" borderId="181" xfId="0" applyFont="1" applyFill="1" applyBorder="1" applyAlignment="1">
      <alignment horizontal="center" vertical="center"/>
    </xf>
    <xf numFmtId="0" fontId="19" fillId="18" borderId="182" xfId="0" applyFont="1" applyFill="1" applyBorder="1" applyAlignment="1">
      <alignment horizontal="center" vertical="center"/>
    </xf>
    <xf numFmtId="0" fontId="19" fillId="14" borderId="23" xfId="0" applyFont="1" applyFill="1" applyBorder="1" applyAlignment="1">
      <alignment horizontal="center" vertical="center"/>
    </xf>
    <xf numFmtId="0" fontId="19" fillId="9" borderId="131" xfId="0" applyFont="1" applyFill="1" applyBorder="1" applyAlignment="1">
      <alignment horizontal="center" vertical="center"/>
    </xf>
    <xf numFmtId="0" fontId="19" fillId="9" borderId="132" xfId="0" applyFont="1" applyFill="1" applyBorder="1" applyAlignment="1">
      <alignment horizontal="center" vertical="center"/>
    </xf>
    <xf numFmtId="0" fontId="19" fillId="9" borderId="133" xfId="0" applyFont="1" applyFill="1" applyBorder="1" applyAlignment="1">
      <alignment horizontal="center" vertical="center"/>
    </xf>
    <xf numFmtId="0" fontId="29" fillId="33" borderId="9" xfId="0" applyFont="1" applyFill="1" applyBorder="1" applyAlignment="1">
      <alignment horizontal="center" vertical="center"/>
    </xf>
    <xf numFmtId="0" fontId="29" fillId="33" borderId="26" xfId="0" applyFont="1" applyFill="1" applyBorder="1" applyAlignment="1">
      <alignment horizontal="center" vertical="center"/>
    </xf>
    <xf numFmtId="0" fontId="29" fillId="33" borderId="10" xfId="0" applyFont="1" applyFill="1" applyBorder="1" applyAlignment="1">
      <alignment horizontal="center" vertical="center"/>
    </xf>
    <xf numFmtId="0" fontId="9" fillId="13" borderId="12" xfId="0" applyFont="1" applyFill="1" applyBorder="1" applyAlignment="1">
      <alignment horizontal="center" vertical="center"/>
    </xf>
    <xf numFmtId="0" fontId="9" fillId="13" borderId="13" xfId="0" applyFont="1" applyFill="1" applyBorder="1" applyAlignment="1">
      <alignment horizontal="center" vertical="center"/>
    </xf>
    <xf numFmtId="0" fontId="9" fillId="13" borderId="16" xfId="0" applyFont="1" applyFill="1" applyBorder="1" applyAlignment="1">
      <alignment horizontal="center" vertical="center"/>
    </xf>
    <xf numFmtId="0" fontId="4" fillId="13" borderId="12" xfId="0" applyFont="1" applyFill="1" applyBorder="1" applyAlignment="1">
      <alignment horizontal="center" vertical="center"/>
    </xf>
    <xf numFmtId="0" fontId="4" fillId="13" borderId="13" xfId="0" applyFont="1" applyFill="1" applyBorder="1" applyAlignment="1">
      <alignment horizontal="center" vertical="center"/>
    </xf>
    <xf numFmtId="0" fontId="4" fillId="13" borderId="16" xfId="0" applyFont="1" applyFill="1" applyBorder="1" applyAlignment="1">
      <alignment horizontal="center" vertical="center"/>
    </xf>
    <xf numFmtId="0" fontId="19" fillId="29" borderId="38" xfId="0" applyFont="1" applyFill="1" applyBorder="1" applyAlignment="1">
      <alignment horizontal="center" vertical="center"/>
    </xf>
    <xf numFmtId="0" fontId="19" fillId="29" borderId="39" xfId="0" applyFont="1" applyFill="1" applyBorder="1" applyAlignment="1">
      <alignment horizontal="center" vertical="center"/>
    </xf>
    <xf numFmtId="0" fontId="19" fillId="29" borderId="22" xfId="0" applyFont="1" applyFill="1" applyBorder="1" applyAlignment="1">
      <alignment horizontal="center" vertical="center"/>
    </xf>
    <xf numFmtId="0" fontId="9" fillId="29" borderId="12" xfId="0" applyFont="1" applyFill="1" applyBorder="1" applyAlignment="1">
      <alignment horizontal="center" vertical="center"/>
    </xf>
    <xf numFmtId="0" fontId="9" fillId="29" borderId="13" xfId="0" applyFont="1" applyFill="1" applyBorder="1" applyAlignment="1">
      <alignment horizontal="center" vertical="center"/>
    </xf>
    <xf numFmtId="0" fontId="9" fillId="29" borderId="14" xfId="0" applyFont="1" applyFill="1" applyBorder="1" applyAlignment="1">
      <alignment horizontal="center" vertical="center"/>
    </xf>
    <xf numFmtId="0" fontId="19" fillId="14" borderId="182" xfId="0" applyFont="1" applyFill="1" applyBorder="1" applyAlignment="1">
      <alignment horizontal="center" vertical="center"/>
    </xf>
    <xf numFmtId="0" fontId="19" fillId="13" borderId="12" xfId="0" applyFont="1" applyFill="1" applyBorder="1" applyAlignment="1">
      <alignment horizontal="center" vertical="center"/>
    </xf>
    <xf numFmtId="0" fontId="19" fillId="13" borderId="13" xfId="0" applyFont="1" applyFill="1" applyBorder="1" applyAlignment="1">
      <alignment horizontal="center" vertical="center"/>
    </xf>
    <xf numFmtId="0" fontId="19" fillId="13" borderId="14" xfId="0" applyFont="1" applyFill="1" applyBorder="1" applyAlignment="1">
      <alignment horizontal="center" vertical="center"/>
    </xf>
    <xf numFmtId="0" fontId="5" fillId="29" borderId="23" xfId="0" applyFont="1" applyFill="1" applyBorder="1" applyAlignment="1">
      <alignment horizontal="center" vertical="center"/>
    </xf>
    <xf numFmtId="0" fontId="5" fillId="29" borderId="39" xfId="0" applyFont="1" applyFill="1" applyBorder="1" applyAlignment="1">
      <alignment horizontal="center" vertical="center"/>
    </xf>
    <xf numFmtId="0" fontId="5" fillId="29" borderId="21" xfId="0" applyFont="1" applyFill="1" applyBorder="1" applyAlignment="1">
      <alignment horizontal="center" vertical="center"/>
    </xf>
    <xf numFmtId="0" fontId="9" fillId="29" borderId="16" xfId="0" applyFont="1" applyFill="1" applyBorder="1" applyAlignment="1">
      <alignment horizontal="center" vertical="center"/>
    </xf>
    <xf numFmtId="0" fontId="19" fillId="19" borderId="25" xfId="0" applyFont="1" applyFill="1" applyBorder="1" applyAlignment="1">
      <alignment horizontal="center" vertical="center"/>
    </xf>
    <xf numFmtId="0" fontId="19" fillId="19" borderId="26" xfId="0" applyFont="1" applyFill="1" applyBorder="1" applyAlignment="1">
      <alignment horizontal="center" vertical="center"/>
    </xf>
    <xf numFmtId="0" fontId="19" fillId="19" borderId="27" xfId="0" applyFont="1" applyFill="1" applyBorder="1" applyAlignment="1">
      <alignment horizontal="center" vertical="center"/>
    </xf>
    <xf numFmtId="0" fontId="19" fillId="19" borderId="12" xfId="0" applyFont="1" applyFill="1" applyBorder="1" applyAlignment="1">
      <alignment horizontal="center" vertical="center"/>
    </xf>
    <xf numFmtId="0" fontId="19" fillId="19" borderId="13" xfId="0" applyFont="1" applyFill="1" applyBorder="1" applyAlignment="1">
      <alignment horizontal="center" vertical="center"/>
    </xf>
    <xf numFmtId="0" fontId="19" fillId="19" borderId="14" xfId="0" applyFont="1" applyFill="1" applyBorder="1" applyAlignment="1">
      <alignment horizontal="center" vertical="center"/>
    </xf>
    <xf numFmtId="0" fontId="5" fillId="19" borderId="14" xfId="0" applyFont="1" applyFill="1" applyBorder="1" applyAlignment="1">
      <alignment horizontal="center" vertical="center"/>
    </xf>
    <xf numFmtId="0" fontId="4" fillId="19" borderId="180" xfId="0" applyFont="1" applyFill="1" applyBorder="1" applyAlignment="1">
      <alignment horizontal="center" vertical="center"/>
    </xf>
    <xf numFmtId="0" fontId="4" fillId="19" borderId="181" xfId="0" applyFont="1" applyFill="1" applyBorder="1" applyAlignment="1">
      <alignment horizontal="center" vertical="center"/>
    </xf>
    <xf numFmtId="0" fontId="4" fillId="19" borderId="184" xfId="0" applyFont="1" applyFill="1" applyBorder="1" applyAlignment="1">
      <alignment horizontal="center" vertical="center"/>
    </xf>
    <xf numFmtId="0" fontId="4" fillId="19" borderId="25" xfId="0" applyFont="1" applyFill="1" applyBorder="1" applyAlignment="1">
      <alignment horizontal="center" vertical="center"/>
    </xf>
    <xf numFmtId="0" fontId="4" fillId="19" borderId="26" xfId="0" applyFont="1" applyFill="1" applyBorder="1" applyAlignment="1">
      <alignment horizontal="center" vertical="center"/>
    </xf>
    <xf numFmtId="0" fontId="4" fillId="19" borderId="10" xfId="0" applyFont="1" applyFill="1" applyBorder="1" applyAlignment="1">
      <alignment horizontal="center" vertical="center"/>
    </xf>
    <xf numFmtId="0" fontId="5" fillId="27" borderId="34" xfId="0" applyFont="1" applyFill="1" applyBorder="1" applyAlignment="1">
      <alignment vertical="center"/>
    </xf>
    <xf numFmtId="0" fontId="19" fillId="13" borderId="18" xfId="0" applyFont="1" applyFill="1" applyBorder="1" applyAlignment="1">
      <alignment horizontal="center" vertical="center"/>
    </xf>
    <xf numFmtId="0" fontId="19" fillId="13" borderId="16" xfId="0" applyFont="1" applyFill="1" applyBorder="1" applyAlignment="1">
      <alignment horizontal="center" vertical="center"/>
    </xf>
    <xf numFmtId="0" fontId="19" fillId="19" borderId="180" xfId="0" applyFont="1" applyFill="1" applyBorder="1" applyAlignment="1">
      <alignment horizontal="center" vertical="center"/>
    </xf>
    <xf numFmtId="0" fontId="19" fillId="19" borderId="181" xfId="0" applyFont="1" applyFill="1" applyBorder="1" applyAlignment="1">
      <alignment horizontal="center" vertical="center"/>
    </xf>
    <xf numFmtId="0" fontId="19" fillId="19" borderId="184" xfId="0" applyFont="1" applyFill="1" applyBorder="1" applyAlignment="1">
      <alignment horizontal="center" vertical="center"/>
    </xf>
    <xf numFmtId="0" fontId="19" fillId="19" borderId="16" xfId="0" applyFont="1" applyFill="1" applyBorder="1" applyAlignment="1">
      <alignment horizontal="center" vertical="center"/>
    </xf>
    <xf numFmtId="0" fontId="9" fillId="19" borderId="38" xfId="0" applyFont="1" applyFill="1" applyBorder="1" applyAlignment="1">
      <alignment horizontal="center" vertical="center"/>
    </xf>
    <xf numFmtId="0" fontId="9" fillId="19" borderId="39" xfId="0" applyFont="1" applyFill="1" applyBorder="1" applyAlignment="1">
      <alignment horizontal="center" vertical="center"/>
    </xf>
    <xf numFmtId="0" fontId="9" fillId="19" borderId="21" xfId="0" applyFont="1" applyFill="1" applyBorder="1" applyAlignment="1">
      <alignment horizontal="center" vertical="center"/>
    </xf>
    <xf numFmtId="0" fontId="4" fillId="9" borderId="133" xfId="0" applyFont="1" applyFill="1" applyBorder="1" applyAlignment="1">
      <alignment horizontal="center" vertical="center"/>
    </xf>
    <xf numFmtId="0" fontId="9" fillId="19" borderId="94" xfId="0" applyFont="1" applyFill="1" applyBorder="1" applyAlignment="1">
      <alignment horizontal="center" vertical="center"/>
    </xf>
    <xf numFmtId="0" fontId="9" fillId="19" borderId="86" xfId="0" applyFont="1" applyFill="1" applyBorder="1" applyAlignment="1">
      <alignment horizontal="center" vertical="center"/>
    </xf>
    <xf numFmtId="0" fontId="9" fillId="19" borderId="92" xfId="0" applyFont="1" applyFill="1" applyBorder="1" applyAlignment="1">
      <alignment horizontal="center" vertical="center"/>
    </xf>
    <xf numFmtId="0" fontId="9" fillId="19" borderId="69" xfId="0" applyFont="1" applyFill="1" applyBorder="1" applyAlignment="1">
      <alignment horizontal="center" vertical="center"/>
    </xf>
    <xf numFmtId="0" fontId="9" fillId="19" borderId="70" xfId="0" applyFont="1" applyFill="1" applyBorder="1" applyAlignment="1">
      <alignment horizontal="center" vertical="center"/>
    </xf>
    <xf numFmtId="0" fontId="5" fillId="14" borderId="22" xfId="0" applyFont="1" applyFill="1" applyBorder="1" applyAlignment="1">
      <alignment horizontal="center" vertical="center"/>
    </xf>
    <xf numFmtId="0" fontId="9" fillId="19" borderId="8" xfId="0" applyFont="1" applyFill="1" applyBorder="1" applyAlignment="1">
      <alignment horizontal="center" vertical="center"/>
    </xf>
    <xf numFmtId="0" fontId="9" fillId="19" borderId="5" xfId="0" applyFont="1" applyFill="1" applyBorder="1" applyAlignment="1">
      <alignment horizontal="center" vertical="center"/>
    </xf>
    <xf numFmtId="0" fontId="9" fillId="19" borderId="7" xfId="0" applyFont="1" applyFill="1" applyBorder="1" applyAlignment="1">
      <alignment horizontal="center" vertical="center"/>
    </xf>
    <xf numFmtId="0" fontId="5" fillId="19" borderId="84" xfId="0" applyFont="1" applyFill="1" applyBorder="1" applyAlignment="1">
      <alignment horizontal="center" vertical="center"/>
    </xf>
    <xf numFmtId="0" fontId="9" fillId="19" borderId="13" xfId="0" applyFont="1" applyFill="1" applyBorder="1" applyAlignment="1">
      <alignment horizontal="center" vertical="center"/>
    </xf>
    <xf numFmtId="0" fontId="9" fillId="19" borderId="16" xfId="0" applyFont="1" applyFill="1" applyBorder="1" applyAlignment="1">
      <alignment horizontal="center" vertical="center"/>
    </xf>
    <xf numFmtId="0" fontId="9" fillId="16" borderId="40" xfId="0" applyFont="1" applyFill="1" applyBorder="1" applyAlignment="1">
      <alignment horizontal="center" vertical="center"/>
    </xf>
    <xf numFmtId="0" fontId="9" fillId="16" borderId="5" xfId="0" applyFont="1" applyFill="1" applyBorder="1" applyAlignment="1">
      <alignment horizontal="center" vertical="center"/>
    </xf>
    <xf numFmtId="0" fontId="9" fillId="16" borderId="7" xfId="0" applyFont="1" applyFill="1" applyBorder="1" applyAlignment="1">
      <alignment horizontal="center" vertical="center"/>
    </xf>
    <xf numFmtId="0" fontId="9" fillId="19" borderId="144" xfId="0" applyFont="1" applyFill="1" applyBorder="1" applyAlignment="1">
      <alignment horizontal="center" vertical="center"/>
    </xf>
    <xf numFmtId="0" fontId="9" fillId="19" borderId="145" xfId="0" applyFont="1" applyFill="1" applyBorder="1" applyAlignment="1">
      <alignment horizontal="center" vertical="center"/>
    </xf>
    <xf numFmtId="0" fontId="5" fillId="16" borderId="148" xfId="0" applyFont="1" applyFill="1" applyBorder="1" applyAlignment="1">
      <alignment horizontal="center" vertical="center"/>
    </xf>
    <xf numFmtId="0" fontId="5" fillId="16" borderId="145" xfId="0" applyFont="1" applyFill="1" applyBorder="1" applyAlignment="1">
      <alignment horizontal="center" vertical="center"/>
    </xf>
    <xf numFmtId="0" fontId="5" fillId="16" borderId="147" xfId="0" applyFont="1" applyFill="1" applyBorder="1" applyAlignment="1">
      <alignment horizontal="center" vertical="center"/>
    </xf>
    <xf numFmtId="0" fontId="9" fillId="19" borderId="12" xfId="0" applyFont="1" applyFill="1" applyBorder="1" applyAlignment="1">
      <alignment horizontal="center" vertical="center"/>
    </xf>
    <xf numFmtId="0" fontId="5" fillId="16" borderId="14" xfId="0" applyFont="1" applyFill="1" applyBorder="1" applyAlignment="1">
      <alignment horizontal="center" vertical="center"/>
    </xf>
    <xf numFmtId="0" fontId="4" fillId="16" borderId="18" xfId="0" applyFont="1" applyFill="1" applyBorder="1" applyAlignment="1">
      <alignment horizontal="center" vertical="center"/>
    </xf>
    <xf numFmtId="0" fontId="4" fillId="16" borderId="13" xfId="0" applyFont="1" applyFill="1" applyBorder="1" applyAlignment="1">
      <alignment horizontal="center" vertical="center"/>
    </xf>
    <xf numFmtId="0" fontId="4" fillId="16" borderId="16" xfId="0" applyFont="1" applyFill="1" applyBorder="1" applyAlignment="1">
      <alignment horizontal="center" vertical="center"/>
    </xf>
    <xf numFmtId="0" fontId="30" fillId="16" borderId="13" xfId="0" applyFont="1" applyFill="1" applyBorder="1" applyAlignment="1">
      <alignment horizontal="center" vertical="center"/>
    </xf>
    <xf numFmtId="0" fontId="4" fillId="14" borderId="25" xfId="0" applyFont="1" applyFill="1" applyBorder="1" applyAlignment="1">
      <alignment horizontal="center" vertical="center"/>
    </xf>
    <xf numFmtId="0" fontId="4" fillId="14" borderId="26" xfId="0" applyFont="1" applyFill="1" applyBorder="1" applyAlignment="1">
      <alignment horizontal="center" vertical="center"/>
    </xf>
    <xf numFmtId="0" fontId="4" fillId="14" borderId="10" xfId="0" applyFont="1" applyFill="1" applyBorder="1" applyAlignment="1">
      <alignment horizontal="center" vertical="center"/>
    </xf>
    <xf numFmtId="0" fontId="5" fillId="14" borderId="139" xfId="0" applyFont="1" applyFill="1" applyBorder="1" applyAlignment="1">
      <alignment horizontal="center" vertical="center"/>
    </xf>
    <xf numFmtId="0" fontId="5" fillId="14" borderId="140" xfId="0" applyFont="1" applyFill="1" applyBorder="1" applyAlignment="1">
      <alignment horizontal="center" vertical="center"/>
    </xf>
    <xf numFmtId="0" fontId="5" fillId="14" borderId="143" xfId="0" applyFont="1" applyFill="1" applyBorder="1" applyAlignment="1">
      <alignment horizontal="center" vertical="center"/>
    </xf>
    <xf numFmtId="0" fontId="5" fillId="19" borderId="195" xfId="0" applyFont="1" applyFill="1" applyBorder="1" applyAlignment="1">
      <alignment horizontal="center" vertical="center"/>
    </xf>
    <xf numFmtId="0" fontId="5" fillId="19" borderId="127" xfId="0" applyFont="1" applyFill="1" applyBorder="1" applyAlignment="1">
      <alignment horizontal="center" vertical="center"/>
    </xf>
    <xf numFmtId="0" fontId="9" fillId="19" borderId="71" xfId="0" applyFont="1" applyFill="1" applyBorder="1" applyAlignment="1">
      <alignment horizontal="center" vertical="center"/>
    </xf>
    <xf numFmtId="0" fontId="9" fillId="19" borderId="6" xfId="0" applyFont="1" applyFill="1" applyBorder="1" applyAlignment="1">
      <alignment horizontal="center" vertical="center"/>
    </xf>
    <xf numFmtId="0" fontId="9" fillId="19" borderId="26" xfId="0" applyFont="1" applyFill="1" applyBorder="1" applyAlignment="1">
      <alignment horizontal="center" vertical="center"/>
    </xf>
    <xf numFmtId="0" fontId="30" fillId="16" borderId="12" xfId="0" applyFont="1" applyFill="1" applyBorder="1" applyAlignment="1">
      <alignment horizontal="center" vertical="center"/>
    </xf>
    <xf numFmtId="0" fontId="5" fillId="18" borderId="24" xfId="0" applyFont="1" applyFill="1" applyBorder="1" applyAlignment="1">
      <alignment vertical="center"/>
    </xf>
    <xf numFmtId="0" fontId="5" fillId="18" borderId="28" xfId="0" applyFont="1" applyFill="1" applyBorder="1" applyAlignment="1">
      <alignment vertical="center"/>
    </xf>
    <xf numFmtId="0" fontId="30" fillId="16" borderId="16" xfId="0" applyFont="1" applyFill="1" applyBorder="1" applyAlignment="1">
      <alignment horizontal="center" vertical="center"/>
    </xf>
    <xf numFmtId="0" fontId="5" fillId="29" borderId="18" xfId="0" applyFont="1" applyFill="1" applyBorder="1" applyAlignment="1">
      <alignment horizontal="center" vertical="center"/>
    </xf>
    <xf numFmtId="0" fontId="9" fillId="19" borderId="10" xfId="0" applyFont="1" applyFill="1" applyBorder="1" applyAlignment="1">
      <alignment horizontal="center" vertical="center"/>
    </xf>
    <xf numFmtId="0" fontId="4" fillId="29" borderId="13" xfId="0" applyFont="1" applyFill="1" applyBorder="1" applyAlignment="1">
      <alignment horizontal="center" vertical="center"/>
    </xf>
    <xf numFmtId="0" fontId="4" fillId="29" borderId="12" xfId="0" applyFont="1" applyFill="1" applyBorder="1" applyAlignment="1">
      <alignment horizontal="center" vertical="center"/>
    </xf>
    <xf numFmtId="0" fontId="4" fillId="20" borderId="14" xfId="0" applyFont="1" applyFill="1" applyBorder="1" applyAlignment="1">
      <alignment horizontal="center" vertical="center"/>
    </xf>
    <xf numFmtId="0" fontId="4" fillId="29" borderId="14" xfId="0" applyFont="1" applyFill="1" applyBorder="1" applyAlignment="1">
      <alignment horizontal="center" vertical="center"/>
    </xf>
    <xf numFmtId="0" fontId="4" fillId="29" borderId="133" xfId="0" applyFont="1" applyFill="1" applyBorder="1" applyAlignment="1">
      <alignment horizontal="center" vertical="center"/>
    </xf>
    <xf numFmtId="0" fontId="5" fillId="29" borderId="179" xfId="0" applyFont="1" applyFill="1" applyBorder="1" applyAlignment="1">
      <alignment horizontal="center" vertical="center"/>
    </xf>
    <xf numFmtId="0" fontId="5" fillId="16" borderId="18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vertical="center"/>
    </xf>
    <xf numFmtId="0" fontId="5" fillId="2" borderId="196" xfId="0" applyFont="1" applyFill="1" applyBorder="1" applyAlignment="1">
      <alignment horizontal="center" vertical="center"/>
    </xf>
    <xf numFmtId="0" fontId="5" fillId="2" borderId="197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2" borderId="198" xfId="0" applyFont="1" applyFill="1" applyBorder="1" applyAlignment="1">
      <alignment horizontal="center" vertical="center"/>
    </xf>
    <xf numFmtId="0" fontId="5" fillId="2" borderId="199" xfId="0" applyFont="1" applyFill="1" applyBorder="1" applyAlignment="1">
      <alignment horizontal="center" vertical="center"/>
    </xf>
    <xf numFmtId="0" fontId="5" fillId="2" borderId="200" xfId="0" applyFont="1" applyFill="1" applyBorder="1" applyAlignment="1">
      <alignment horizontal="center" vertical="center"/>
    </xf>
    <xf numFmtId="0" fontId="5" fillId="2" borderId="187" xfId="0" applyFont="1" applyFill="1" applyBorder="1" applyAlignment="1">
      <alignment horizontal="center" vertical="center"/>
    </xf>
    <xf numFmtId="0" fontId="4" fillId="9" borderId="92" xfId="0" applyFont="1" applyFill="1" applyBorder="1" applyAlignment="1">
      <alignment horizontal="center" vertical="center"/>
    </xf>
    <xf numFmtId="0" fontId="4" fillId="14" borderId="93" xfId="0" applyFont="1" applyFill="1" applyBorder="1" applyAlignment="1">
      <alignment horizontal="center" vertical="center"/>
    </xf>
    <xf numFmtId="0" fontId="5" fillId="2" borderId="66" xfId="0" applyFont="1" applyFill="1" applyBorder="1" applyAlignment="1">
      <alignment horizontal="center" vertical="center"/>
    </xf>
    <xf numFmtId="0" fontId="5" fillId="2" borderId="67" xfId="0" applyFont="1" applyFill="1" applyBorder="1" applyAlignment="1">
      <alignment horizontal="center" vertical="center"/>
    </xf>
    <xf numFmtId="0" fontId="5" fillId="2" borderId="201" xfId="0" applyFont="1" applyFill="1" applyBorder="1" applyAlignment="1">
      <alignment horizontal="center" vertical="center"/>
    </xf>
    <xf numFmtId="0" fontId="5" fillId="2" borderId="202" xfId="0" applyFont="1" applyFill="1" applyBorder="1" applyAlignment="1">
      <alignment horizontal="center" vertical="center"/>
    </xf>
    <xf numFmtId="0" fontId="5" fillId="2" borderId="203" xfId="0" applyFont="1" applyFill="1" applyBorder="1" applyAlignment="1">
      <alignment horizontal="center" vertical="center"/>
    </xf>
    <xf numFmtId="0" fontId="9" fillId="29" borderId="38" xfId="0" applyFont="1" applyFill="1" applyBorder="1" applyAlignment="1">
      <alignment horizontal="center" vertical="center"/>
    </xf>
    <xf numFmtId="0" fontId="9" fillId="29" borderId="39" xfId="0" applyFont="1" applyFill="1" applyBorder="1" applyAlignment="1">
      <alignment horizontal="center" vertical="center"/>
    </xf>
    <xf numFmtId="0" fontId="9" fillId="29" borderId="22" xfId="0" applyFont="1" applyFill="1" applyBorder="1" applyAlignment="1">
      <alignment horizontal="center" vertical="center"/>
    </xf>
    <xf numFmtId="0" fontId="9" fillId="19" borderId="147" xfId="0" applyFont="1" applyFill="1" applyBorder="1" applyAlignment="1">
      <alignment horizontal="center" vertical="center"/>
    </xf>
    <xf numFmtId="0" fontId="5" fillId="9" borderId="80" xfId="0" applyFont="1" applyFill="1" applyBorder="1" applyAlignment="1">
      <alignment horizontal="center" vertical="center"/>
    </xf>
    <xf numFmtId="0" fontId="5" fillId="18" borderId="97" xfId="0" applyFont="1" applyFill="1" applyBorder="1" applyAlignment="1">
      <alignment vertical="center"/>
    </xf>
    <xf numFmtId="0" fontId="5" fillId="9" borderId="205" xfId="0" applyFont="1" applyFill="1" applyBorder="1" applyAlignment="1">
      <alignment horizontal="center" vertical="center"/>
    </xf>
    <xf numFmtId="0" fontId="5" fillId="9" borderId="206" xfId="0" applyFont="1" applyFill="1" applyBorder="1" applyAlignment="1">
      <alignment horizontal="center" vertical="center"/>
    </xf>
    <xf numFmtId="0" fontId="9" fillId="19" borderId="40" xfId="0" applyFont="1" applyFill="1" applyBorder="1" applyAlignment="1">
      <alignment horizontal="center" vertical="center"/>
    </xf>
    <xf numFmtId="0" fontId="5" fillId="9" borderId="207" xfId="0" applyFont="1" applyFill="1" applyBorder="1" applyAlignment="1">
      <alignment horizontal="center" vertical="center"/>
    </xf>
    <xf numFmtId="0" fontId="9" fillId="19" borderId="25" xfId="0" applyFont="1" applyFill="1" applyBorder="1" applyAlignment="1">
      <alignment horizontal="center" vertical="center"/>
    </xf>
    <xf numFmtId="0" fontId="5" fillId="9" borderId="158" xfId="0" applyFont="1" applyFill="1" applyBorder="1" applyAlignment="1">
      <alignment horizontal="center" vertical="center"/>
    </xf>
    <xf numFmtId="0" fontId="5" fillId="14" borderId="8" xfId="0" applyFont="1" applyFill="1" applyBorder="1" applyAlignment="1">
      <alignment horizontal="center" vertical="center"/>
    </xf>
    <xf numFmtId="0" fontId="5" fillId="2" borderId="115" xfId="0" applyFont="1" applyFill="1" applyBorder="1" applyAlignment="1">
      <alignment horizontal="center" vertical="center"/>
    </xf>
    <xf numFmtId="0" fontId="5" fillId="2" borderId="116" xfId="0" applyFont="1" applyFill="1" applyBorder="1" applyAlignment="1">
      <alignment horizontal="center" vertical="center"/>
    </xf>
    <xf numFmtId="0" fontId="5" fillId="2" borderId="160" xfId="0" applyFont="1" applyFill="1" applyBorder="1" applyAlignment="1">
      <alignment horizontal="center" vertical="center"/>
    </xf>
    <xf numFmtId="0" fontId="4" fillId="29" borderId="16" xfId="0" applyFont="1" applyFill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2" borderId="190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5" fillId="9" borderId="15" xfId="0" applyFont="1" applyFill="1" applyBorder="1" applyAlignment="1">
      <alignment horizontal="center" vertical="center"/>
    </xf>
    <xf numFmtId="0" fontId="5" fillId="9" borderId="34" xfId="0" applyFont="1" applyFill="1" applyBorder="1" applyAlignment="1">
      <alignment horizontal="center" vertical="center"/>
    </xf>
    <xf numFmtId="0" fontId="5" fillId="9" borderId="162" xfId="0" applyFont="1" applyFill="1" applyBorder="1" applyAlignment="1">
      <alignment horizontal="center" vertical="center"/>
    </xf>
    <xf numFmtId="0" fontId="9" fillId="34" borderId="38" xfId="0" applyFont="1" applyFill="1" applyBorder="1" applyAlignment="1">
      <alignment horizontal="center" vertical="center"/>
    </xf>
    <xf numFmtId="0" fontId="9" fillId="34" borderId="39" xfId="0" applyFont="1" applyFill="1" applyBorder="1" applyAlignment="1">
      <alignment horizontal="center" vertical="center"/>
    </xf>
    <xf numFmtId="0" fontId="9" fillId="34" borderId="21" xfId="0" applyFont="1" applyFill="1" applyBorder="1" applyAlignment="1">
      <alignment horizontal="center" vertical="center"/>
    </xf>
    <xf numFmtId="0" fontId="5" fillId="2" borderId="128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14" borderId="180" xfId="0" applyFont="1" applyFill="1" applyBorder="1" applyAlignment="1">
      <alignment horizontal="center" vertical="center"/>
    </xf>
    <xf numFmtId="0" fontId="9" fillId="9" borderId="184" xfId="0" applyFont="1" applyFill="1" applyBorder="1" applyAlignment="1">
      <alignment horizontal="center" vertical="center"/>
    </xf>
    <xf numFmtId="0" fontId="5" fillId="14" borderId="7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31" xfId="0" applyFont="1" applyFill="1" applyBorder="1" applyAlignment="1">
      <alignment horizontal="center" vertical="center"/>
    </xf>
    <xf numFmtId="0" fontId="4" fillId="2" borderId="132" xfId="0" applyFont="1" applyFill="1" applyBorder="1" applyAlignment="1">
      <alignment horizontal="center" vertical="center"/>
    </xf>
    <xf numFmtId="0" fontId="4" fillId="2" borderId="157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14" borderId="133" xfId="0" applyFont="1" applyFill="1" applyBorder="1" applyAlignment="1">
      <alignment horizontal="center" vertical="center"/>
    </xf>
    <xf numFmtId="0" fontId="9" fillId="9" borderId="179" xfId="0" applyFont="1" applyFill="1" applyBorder="1" applyAlignment="1">
      <alignment horizontal="center" vertical="center"/>
    </xf>
    <xf numFmtId="0" fontId="9" fillId="2" borderId="131" xfId="0" applyFont="1" applyFill="1" applyBorder="1" applyAlignment="1">
      <alignment horizontal="center" vertical="center"/>
    </xf>
    <xf numFmtId="0" fontId="9" fillId="2" borderId="132" xfId="0" applyFont="1" applyFill="1" applyBorder="1" applyAlignment="1">
      <alignment horizontal="center" vertical="center"/>
    </xf>
    <xf numFmtId="0" fontId="9" fillId="2" borderId="157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18" borderId="38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21" xfId="0" applyFont="1" applyFill="1" applyBorder="1" applyAlignment="1">
      <alignment horizontal="center" vertical="center"/>
    </xf>
    <xf numFmtId="0" fontId="5" fillId="18" borderId="12" xfId="0" applyFont="1" applyFill="1" applyBorder="1" applyAlignment="1">
      <alignment horizontal="center" vertical="center"/>
    </xf>
    <xf numFmtId="0" fontId="5" fillId="18" borderId="13" xfId="0" applyFont="1" applyFill="1" applyBorder="1" applyAlignment="1">
      <alignment horizontal="center" vertical="center"/>
    </xf>
    <xf numFmtId="0" fontId="5" fillId="18" borderId="16" xfId="0" applyFont="1" applyFill="1" applyBorder="1" applyAlignment="1">
      <alignment horizontal="center" vertical="center"/>
    </xf>
    <xf numFmtId="0" fontId="5" fillId="9" borderId="31" xfId="0" applyFont="1" applyFill="1" applyBorder="1" applyAlignment="1">
      <alignment vertical="center"/>
    </xf>
    <xf numFmtId="0" fontId="9" fillId="18" borderId="12" xfId="0" applyFont="1" applyFill="1" applyBorder="1" applyAlignment="1">
      <alignment horizontal="center" vertical="center"/>
    </xf>
    <xf numFmtId="0" fontId="9" fillId="18" borderId="13" xfId="0" applyFont="1" applyFill="1" applyBorder="1" applyAlignment="1">
      <alignment horizontal="center" vertical="center"/>
    </xf>
    <xf numFmtId="0" fontId="9" fillId="18" borderId="16" xfId="0" applyFont="1" applyFill="1" applyBorder="1" applyAlignment="1">
      <alignment horizontal="center" vertical="center"/>
    </xf>
    <xf numFmtId="0" fontId="5" fillId="18" borderId="25" xfId="0" applyFont="1" applyFill="1" applyBorder="1" applyAlignment="1">
      <alignment horizontal="center" vertical="center"/>
    </xf>
    <xf numFmtId="0" fontId="5" fillId="18" borderId="26" xfId="0" applyFont="1" applyFill="1" applyBorder="1" applyAlignment="1">
      <alignment horizontal="center" vertical="center"/>
    </xf>
    <xf numFmtId="0" fontId="5" fillId="18" borderId="10" xfId="0" applyFont="1" applyFill="1" applyBorder="1" applyAlignment="1">
      <alignment horizontal="center" vertical="center"/>
    </xf>
    <xf numFmtId="0" fontId="19" fillId="18" borderId="12" xfId="0" applyFont="1" applyFill="1" applyBorder="1" applyAlignment="1">
      <alignment horizontal="center" vertical="center"/>
    </xf>
    <xf numFmtId="0" fontId="19" fillId="18" borderId="13" xfId="0" applyFont="1" applyFill="1" applyBorder="1" applyAlignment="1">
      <alignment horizontal="center" vertical="center"/>
    </xf>
    <xf numFmtId="0" fontId="19" fillId="18" borderId="16" xfId="0" applyFont="1" applyFill="1" applyBorder="1" applyAlignment="1">
      <alignment horizontal="center" vertical="center"/>
    </xf>
    <xf numFmtId="0" fontId="9" fillId="18" borderId="38" xfId="0" applyFont="1" applyFill="1" applyBorder="1" applyAlignment="1">
      <alignment horizontal="center" vertical="center"/>
    </xf>
    <xf numFmtId="0" fontId="9" fillId="18" borderId="39" xfId="0" applyFont="1" applyFill="1" applyBorder="1" applyAlignment="1">
      <alignment horizontal="center" vertical="center"/>
    </xf>
    <xf numFmtId="0" fontId="9" fillId="18" borderId="22" xfId="0" applyFont="1" applyFill="1" applyBorder="1" applyAlignment="1">
      <alignment horizontal="center" vertical="center"/>
    </xf>
    <xf numFmtId="0" fontId="9" fillId="18" borderId="14" xfId="0" applyFont="1" applyFill="1" applyBorder="1" applyAlignment="1">
      <alignment horizontal="center" vertical="center"/>
    </xf>
    <xf numFmtId="0" fontId="9" fillId="18" borderId="25" xfId="0" applyFont="1" applyFill="1" applyBorder="1" applyAlignment="1">
      <alignment horizontal="center" vertical="center"/>
    </xf>
    <xf numFmtId="0" fontId="9" fillId="18" borderId="23" xfId="0" applyFont="1" applyFill="1" applyBorder="1" applyAlignment="1">
      <alignment horizontal="center" vertical="center"/>
    </xf>
    <xf numFmtId="0" fontId="9" fillId="18" borderId="21" xfId="0" applyFont="1" applyFill="1" applyBorder="1" applyAlignment="1">
      <alignment horizontal="center" vertical="center"/>
    </xf>
    <xf numFmtId="0" fontId="5" fillId="18" borderId="8" xfId="0" applyFont="1" applyFill="1" applyBorder="1" applyAlignment="1">
      <alignment horizontal="center" vertical="center"/>
    </xf>
    <xf numFmtId="0" fontId="5" fillId="18" borderId="5" xfId="0" applyFont="1" applyFill="1" applyBorder="1" applyAlignment="1">
      <alignment horizontal="center" vertical="center"/>
    </xf>
    <xf numFmtId="0" fontId="5" fillId="18" borderId="6" xfId="0" applyFont="1" applyFill="1" applyBorder="1" applyAlignment="1">
      <alignment horizontal="center" vertical="center"/>
    </xf>
    <xf numFmtId="0" fontId="5" fillId="18" borderId="180" xfId="0" applyFont="1" applyFill="1" applyBorder="1" applyAlignment="1">
      <alignment horizontal="center" vertical="center"/>
    </xf>
    <xf numFmtId="0" fontId="5" fillId="18" borderId="181" xfId="0" applyFont="1" applyFill="1" applyBorder="1" applyAlignment="1">
      <alignment horizontal="center" vertical="center"/>
    </xf>
    <xf numFmtId="0" fontId="5" fillId="18" borderId="184" xfId="0" applyFont="1" applyFill="1" applyBorder="1" applyAlignment="1">
      <alignment horizontal="center" vertical="center"/>
    </xf>
    <xf numFmtId="0" fontId="9" fillId="18" borderId="18" xfId="0" applyFont="1" applyFill="1" applyBorder="1" applyAlignment="1">
      <alignment horizontal="center" vertical="center"/>
    </xf>
    <xf numFmtId="0" fontId="5" fillId="18" borderId="40" xfId="0" applyFont="1" applyFill="1" applyBorder="1" applyAlignment="1">
      <alignment horizontal="center" vertical="center"/>
    </xf>
    <xf numFmtId="0" fontId="4" fillId="18" borderId="38" xfId="0" applyFont="1" applyFill="1" applyBorder="1" applyAlignment="1">
      <alignment horizontal="center" vertical="center"/>
    </xf>
    <xf numFmtId="0" fontId="4" fillId="18" borderId="39" xfId="0" applyFont="1" applyFill="1" applyBorder="1" applyAlignment="1">
      <alignment horizontal="center" vertical="center"/>
    </xf>
    <xf numFmtId="0" fontId="4" fillId="18" borderId="25" xfId="0" applyFont="1" applyFill="1" applyBorder="1" applyAlignment="1">
      <alignment horizontal="center" vertical="center"/>
    </xf>
    <xf numFmtId="0" fontId="4" fillId="18" borderId="26" xfId="0" applyFont="1" applyFill="1" applyBorder="1" applyAlignment="1">
      <alignment horizontal="center" vertical="center"/>
    </xf>
    <xf numFmtId="0" fontId="4" fillId="18" borderId="10" xfId="0" applyFont="1" applyFill="1" applyBorder="1" applyAlignment="1">
      <alignment horizontal="center" vertical="center"/>
    </xf>
    <xf numFmtId="0" fontId="4" fillId="18" borderId="12" xfId="0" applyFont="1" applyFill="1" applyBorder="1" applyAlignment="1">
      <alignment horizontal="center" vertical="center"/>
    </xf>
    <xf numFmtId="0" fontId="4" fillId="18" borderId="13" xfId="0" applyFont="1" applyFill="1" applyBorder="1" applyAlignment="1">
      <alignment horizontal="center" vertical="center"/>
    </xf>
    <xf numFmtId="0" fontId="4" fillId="18" borderId="16" xfId="0" applyFont="1" applyFill="1" applyBorder="1" applyAlignment="1">
      <alignment horizontal="center" vertical="center"/>
    </xf>
    <xf numFmtId="0" fontId="4" fillId="18" borderId="21" xfId="0" applyFont="1" applyFill="1" applyBorder="1" applyAlignment="1">
      <alignment horizontal="center" vertical="center"/>
    </xf>
    <xf numFmtId="0" fontId="5" fillId="2" borderId="80" xfId="0" applyFont="1" applyFill="1" applyBorder="1" applyAlignment="1">
      <alignment horizontal="center" vertical="center"/>
    </xf>
    <xf numFmtId="0" fontId="5" fillId="19" borderId="35" xfId="0" applyFont="1" applyFill="1" applyBorder="1" applyAlignment="1">
      <alignment horizontal="center" vertical="center"/>
    </xf>
    <xf numFmtId="0" fontId="5" fillId="19" borderId="33" xfId="0" applyFont="1" applyFill="1" applyBorder="1" applyAlignment="1">
      <alignment horizontal="center" vertical="center"/>
    </xf>
    <xf numFmtId="0" fontId="5" fillId="19" borderId="29" xfId="0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vertical="center"/>
    </xf>
    <xf numFmtId="0" fontId="5" fillId="2" borderId="208" xfId="0" applyFont="1" applyFill="1" applyBorder="1" applyAlignment="1">
      <alignment vertical="center"/>
    </xf>
    <xf numFmtId="0" fontId="4" fillId="24" borderId="13" xfId="0" applyFont="1" applyFill="1" applyBorder="1" applyAlignment="1">
      <alignment horizontal="center" vertical="center"/>
    </xf>
    <xf numFmtId="0" fontId="19" fillId="9" borderId="58" xfId="0" applyFont="1" applyFill="1" applyBorder="1" applyAlignment="1">
      <alignment horizontal="center" vertical="center"/>
    </xf>
    <xf numFmtId="0" fontId="19" fillId="14" borderId="212" xfId="0" applyFont="1" applyFill="1" applyBorder="1" applyAlignment="1">
      <alignment horizontal="center" vertical="center"/>
    </xf>
    <xf numFmtId="0" fontId="19" fillId="14" borderId="43" xfId="0" applyFont="1" applyFill="1" applyBorder="1" applyAlignment="1">
      <alignment horizontal="center" vertical="center"/>
    </xf>
    <xf numFmtId="0" fontId="19" fillId="14" borderId="209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19" borderId="131" xfId="0" applyFont="1" applyFill="1" applyBorder="1" applyAlignment="1">
      <alignment horizontal="center" vertical="center"/>
    </xf>
    <xf numFmtId="0" fontId="5" fillId="19" borderId="132" xfId="0" applyFont="1" applyFill="1" applyBorder="1" applyAlignment="1">
      <alignment horizontal="center" vertical="center"/>
    </xf>
    <xf numFmtId="0" fontId="5" fillId="19" borderId="133" xfId="0" applyFont="1" applyFill="1" applyBorder="1" applyAlignment="1">
      <alignment horizontal="center" vertical="center"/>
    </xf>
    <xf numFmtId="0" fontId="19" fillId="19" borderId="210" xfId="0" applyFont="1" applyFill="1" applyBorder="1" applyAlignment="1">
      <alignment horizontal="center" vertical="center"/>
    </xf>
    <xf numFmtId="0" fontId="19" fillId="19" borderId="42" xfId="0" applyFont="1" applyFill="1" applyBorder="1" applyAlignment="1">
      <alignment horizontal="center" vertical="center"/>
    </xf>
    <xf numFmtId="0" fontId="19" fillId="19" borderId="211" xfId="0" applyFont="1" applyFill="1" applyBorder="1" applyAlignment="1">
      <alignment horizontal="center" vertical="center"/>
    </xf>
    <xf numFmtId="0" fontId="0" fillId="9" borderId="1" xfId="0" applyFill="1" applyBorder="1"/>
    <xf numFmtId="0" fontId="19" fillId="16" borderId="13" xfId="0" applyFont="1" applyFill="1" applyBorder="1" applyAlignment="1">
      <alignment horizontal="center" vertical="center"/>
    </xf>
    <xf numFmtId="0" fontId="19" fillId="16" borderId="39" xfId="0" applyFont="1" applyFill="1" applyBorder="1" applyAlignment="1">
      <alignment horizontal="center" vertical="center"/>
    </xf>
    <xf numFmtId="0" fontId="19" fillId="18" borderId="39" xfId="0" applyFont="1" applyFill="1" applyBorder="1" applyAlignment="1">
      <alignment horizontal="center" vertical="center"/>
    </xf>
    <xf numFmtId="0" fontId="19" fillId="16" borderId="38" xfId="0" applyFont="1" applyFill="1" applyBorder="1" applyAlignment="1">
      <alignment horizontal="center" vertical="center"/>
    </xf>
    <xf numFmtId="0" fontId="19" fillId="18" borderId="38" xfId="0" applyFont="1" applyFill="1" applyBorder="1" applyAlignment="1">
      <alignment horizontal="center" vertical="center"/>
    </xf>
    <xf numFmtId="0" fontId="4" fillId="24" borderId="12" xfId="0" applyFont="1" applyFill="1" applyBorder="1" applyAlignment="1">
      <alignment horizontal="center" vertical="center"/>
    </xf>
    <xf numFmtId="0" fontId="19" fillId="19" borderId="131" xfId="0" applyFont="1" applyFill="1" applyBorder="1" applyAlignment="1">
      <alignment horizontal="center" vertical="center"/>
    </xf>
    <xf numFmtId="0" fontId="19" fillId="19" borderId="132" xfId="0" applyFont="1" applyFill="1" applyBorder="1" applyAlignment="1">
      <alignment horizontal="center" vertical="center"/>
    </xf>
    <xf numFmtId="0" fontId="19" fillId="19" borderId="133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5" fillId="36" borderId="24" xfId="0" applyFont="1" applyFill="1" applyBorder="1" applyAlignment="1">
      <alignment vertical="center"/>
    </xf>
    <xf numFmtId="0" fontId="4" fillId="19" borderId="12" xfId="0" applyFont="1" applyFill="1" applyBorder="1" applyAlignment="1">
      <alignment horizontal="center" vertical="center"/>
    </xf>
    <xf numFmtId="0" fontId="4" fillId="19" borderId="13" xfId="0" applyFont="1" applyFill="1" applyBorder="1" applyAlignment="1">
      <alignment horizontal="center" vertical="center"/>
    </xf>
    <xf numFmtId="0" fontId="4" fillId="19" borderId="16" xfId="0" applyFont="1" applyFill="1" applyBorder="1" applyAlignment="1">
      <alignment horizontal="center" vertical="center"/>
    </xf>
    <xf numFmtId="0" fontId="4" fillId="19" borderId="38" xfId="0" applyFont="1" applyFill="1" applyBorder="1" applyAlignment="1">
      <alignment horizontal="center" vertical="center"/>
    </xf>
    <xf numFmtId="0" fontId="4" fillId="19" borderId="39" xfId="0" applyFont="1" applyFill="1" applyBorder="1" applyAlignment="1">
      <alignment horizontal="center" vertical="center"/>
    </xf>
    <xf numFmtId="0" fontId="4" fillId="19" borderId="21" xfId="0" applyFont="1" applyFill="1" applyBorder="1" applyAlignment="1">
      <alignment horizontal="center" vertical="center"/>
    </xf>
    <xf numFmtId="0" fontId="35" fillId="0" borderId="0" xfId="0" applyFont="1"/>
    <xf numFmtId="0" fontId="5" fillId="2" borderId="201" xfId="0" applyFont="1" applyFill="1" applyBorder="1" applyAlignment="1">
      <alignment vertical="center"/>
    </xf>
    <xf numFmtId="0" fontId="5" fillId="2" borderId="159" xfId="0" applyFont="1" applyFill="1" applyBorder="1" applyAlignment="1">
      <alignment horizontal="center" vertical="center"/>
    </xf>
    <xf numFmtId="0" fontId="19" fillId="19" borderId="10" xfId="0" applyFont="1" applyFill="1" applyBorder="1" applyAlignment="1">
      <alignment horizontal="center" vertical="center"/>
    </xf>
    <xf numFmtId="0" fontId="5" fillId="9" borderId="165" xfId="0" applyFont="1" applyFill="1" applyBorder="1" applyAlignment="1">
      <alignment horizontal="center" vertical="center"/>
    </xf>
    <xf numFmtId="0" fontId="5" fillId="9" borderId="122" xfId="0" applyFont="1" applyFill="1" applyBorder="1" applyAlignment="1">
      <alignment horizontal="center" vertical="center"/>
    </xf>
    <xf numFmtId="0" fontId="5" fillId="14" borderId="73" xfId="0" applyFont="1" applyFill="1" applyBorder="1" applyAlignment="1">
      <alignment horizontal="center" vertical="center"/>
    </xf>
    <xf numFmtId="0" fontId="5" fillId="14" borderId="63" xfId="0" applyFont="1" applyFill="1" applyBorder="1" applyAlignment="1">
      <alignment horizontal="center" vertical="center"/>
    </xf>
    <xf numFmtId="0" fontId="19" fillId="9" borderId="123" xfId="0" applyFont="1" applyFill="1" applyBorder="1" applyAlignment="1">
      <alignment horizontal="center" vertical="center"/>
    </xf>
    <xf numFmtId="0" fontId="5" fillId="14" borderId="64" xfId="0" applyFont="1" applyFill="1" applyBorder="1" applyAlignment="1">
      <alignment horizontal="center" vertical="center"/>
    </xf>
    <xf numFmtId="0" fontId="5" fillId="14" borderId="71" xfId="0" applyFont="1" applyFill="1" applyBorder="1" applyAlignment="1">
      <alignment horizontal="center" vertical="center"/>
    </xf>
    <xf numFmtId="0" fontId="19" fillId="14" borderId="6" xfId="0" applyFont="1" applyFill="1" applyBorder="1" applyAlignment="1">
      <alignment horizontal="center" vertical="center"/>
    </xf>
    <xf numFmtId="0" fontId="5" fillId="2" borderId="215" xfId="0" applyFont="1" applyFill="1" applyBorder="1" applyAlignment="1">
      <alignment vertical="center"/>
    </xf>
    <xf numFmtId="0" fontId="4" fillId="24" borderId="16" xfId="0" applyFont="1" applyFill="1" applyBorder="1" applyAlignment="1">
      <alignment horizontal="center" vertical="center"/>
    </xf>
    <xf numFmtId="0" fontId="5" fillId="36" borderId="28" xfId="0" applyFont="1" applyFill="1" applyBorder="1" applyAlignment="1">
      <alignment vertical="center"/>
    </xf>
    <xf numFmtId="0" fontId="5" fillId="19" borderId="3" xfId="0" applyFont="1" applyFill="1" applyBorder="1" applyAlignment="1">
      <alignment vertical="center"/>
    </xf>
    <xf numFmtId="0" fontId="5" fillId="19" borderId="15" xfId="0" applyFont="1" applyFill="1" applyBorder="1" applyAlignment="1">
      <alignment vertical="center"/>
    </xf>
    <xf numFmtId="0" fontId="5" fillId="19" borderId="162" xfId="0" applyFont="1" applyFill="1" applyBorder="1" applyAlignment="1">
      <alignment vertical="center"/>
    </xf>
    <xf numFmtId="0" fontId="5" fillId="38" borderId="26" xfId="0" applyFont="1" applyFill="1" applyBorder="1" applyAlignment="1">
      <alignment horizontal="center" vertical="center"/>
    </xf>
    <xf numFmtId="0" fontId="9" fillId="38" borderId="26" xfId="0" applyFont="1" applyFill="1" applyBorder="1" applyAlignment="1">
      <alignment horizontal="center" vertical="center"/>
    </xf>
    <xf numFmtId="0" fontId="4" fillId="38" borderId="26" xfId="0" applyFont="1" applyFill="1" applyBorder="1" applyAlignment="1">
      <alignment horizontal="center" vertical="center"/>
    </xf>
    <xf numFmtId="0" fontId="5" fillId="14" borderId="13" xfId="0" applyFont="1" applyFill="1" applyBorder="1" applyAlignment="1">
      <alignment vertical="center"/>
    </xf>
    <xf numFmtId="0" fontId="5" fillId="14" borderId="26" xfId="0" applyFont="1" applyFill="1" applyBorder="1" applyAlignment="1">
      <alignment vertical="center"/>
    </xf>
    <xf numFmtId="0" fontId="9" fillId="2" borderId="26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5" fillId="38" borderId="9" xfId="0" applyFont="1" applyFill="1" applyBorder="1" applyAlignment="1">
      <alignment horizontal="center" vertical="center"/>
    </xf>
    <xf numFmtId="0" fontId="5" fillId="37" borderId="31" xfId="0" applyFont="1" applyFill="1" applyBorder="1" applyAlignment="1">
      <alignment vertical="center"/>
    </xf>
    <xf numFmtId="0" fontId="5" fillId="37" borderId="28" xfId="0" applyFont="1" applyFill="1" applyBorder="1" applyAlignment="1">
      <alignment vertical="center"/>
    </xf>
    <xf numFmtId="0" fontId="5" fillId="37" borderId="33" xfId="0" applyFont="1" applyFill="1" applyBorder="1" applyAlignment="1">
      <alignment vertical="center"/>
    </xf>
    <xf numFmtId="0" fontId="19" fillId="9" borderId="161" xfId="0" applyFont="1" applyFill="1" applyBorder="1" applyAlignment="1">
      <alignment horizontal="center" vertical="center"/>
    </xf>
    <xf numFmtId="0" fontId="19" fillId="9" borderId="158" xfId="0" applyFont="1" applyFill="1" applyBorder="1" applyAlignment="1">
      <alignment horizontal="center" vertical="center"/>
    </xf>
    <xf numFmtId="0" fontId="19" fillId="14" borderId="27" xfId="0" applyFont="1" applyFill="1" applyBorder="1" applyAlignment="1">
      <alignment horizontal="center" vertical="center"/>
    </xf>
    <xf numFmtId="0" fontId="9" fillId="38" borderId="10" xfId="0" applyFont="1" applyFill="1" applyBorder="1" applyAlignment="1">
      <alignment horizontal="center" vertical="center"/>
    </xf>
    <xf numFmtId="0" fontId="5" fillId="14" borderId="9" xfId="0" applyFont="1" applyFill="1" applyBorder="1" applyAlignment="1">
      <alignment vertical="center"/>
    </xf>
    <xf numFmtId="0" fontId="5" fillId="14" borderId="18" xfId="0" applyFont="1" applyFill="1" applyBorder="1" applyAlignment="1">
      <alignment vertical="center"/>
    </xf>
    <xf numFmtId="0" fontId="9" fillId="38" borderId="25" xfId="0" applyFont="1" applyFill="1" applyBorder="1" applyAlignment="1">
      <alignment horizontal="center" vertical="center"/>
    </xf>
    <xf numFmtId="0" fontId="5" fillId="38" borderId="10" xfId="0" applyFont="1" applyFill="1" applyBorder="1" applyAlignment="1">
      <alignment horizontal="center" vertical="center"/>
    </xf>
    <xf numFmtId="0" fontId="5" fillId="14" borderId="10" xfId="0" applyFont="1" applyFill="1" applyBorder="1" applyAlignment="1">
      <alignment vertical="center"/>
    </xf>
    <xf numFmtId="0" fontId="5" fillId="14" borderId="16" xfId="0" applyFont="1" applyFill="1" applyBorder="1" applyAlignment="1">
      <alignment vertical="center"/>
    </xf>
    <xf numFmtId="0" fontId="4" fillId="9" borderId="165" xfId="0" applyFont="1" applyFill="1" applyBorder="1" applyAlignment="1">
      <alignment horizontal="center" vertical="center"/>
    </xf>
    <xf numFmtId="0" fontId="4" fillId="9" borderId="161" xfId="0" applyFont="1" applyFill="1" applyBorder="1" applyAlignment="1">
      <alignment horizontal="center" vertical="center"/>
    </xf>
    <xf numFmtId="0" fontId="4" fillId="38" borderId="25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19" fillId="9" borderId="165" xfId="0" applyFont="1" applyFill="1" applyBorder="1" applyAlignment="1">
      <alignment horizontal="center" vertical="center"/>
    </xf>
    <xf numFmtId="0" fontId="19" fillId="9" borderId="122" xfId="0" applyFont="1" applyFill="1" applyBorder="1" applyAlignment="1">
      <alignment horizontal="center" vertical="center"/>
    </xf>
    <xf numFmtId="0" fontId="19" fillId="9" borderId="157" xfId="0" applyFont="1" applyFill="1" applyBorder="1" applyAlignment="1">
      <alignment horizontal="center" vertical="center"/>
    </xf>
    <xf numFmtId="0" fontId="5" fillId="2" borderId="216" xfId="0" applyFont="1" applyFill="1" applyBorder="1" applyAlignment="1">
      <alignment horizontal="center" vertical="center"/>
    </xf>
    <xf numFmtId="0" fontId="19" fillId="9" borderId="180" xfId="0" applyFont="1" applyFill="1" applyBorder="1" applyAlignment="1">
      <alignment horizontal="center" vertical="center"/>
    </xf>
    <xf numFmtId="0" fontId="4" fillId="14" borderId="180" xfId="0" applyFont="1" applyFill="1" applyBorder="1" applyAlignment="1">
      <alignment horizontal="center" vertical="center"/>
    </xf>
    <xf numFmtId="0" fontId="5" fillId="2" borderId="117" xfId="0" applyFont="1" applyFill="1" applyBorder="1" applyAlignment="1">
      <alignment horizontal="center" vertical="center"/>
    </xf>
    <xf numFmtId="0" fontId="5" fillId="2" borderId="217" xfId="0" applyFont="1" applyFill="1" applyBorder="1" applyAlignment="1">
      <alignment horizontal="center" vertical="center"/>
    </xf>
    <xf numFmtId="0" fontId="4" fillId="14" borderId="27" xfId="0" applyFont="1" applyFill="1" applyBorder="1" applyAlignment="1">
      <alignment horizontal="center" vertical="center"/>
    </xf>
    <xf numFmtId="0" fontId="4" fillId="14" borderId="182" xfId="0" applyFont="1" applyFill="1" applyBorder="1" applyAlignment="1">
      <alignment horizontal="center" vertical="center"/>
    </xf>
    <xf numFmtId="0" fontId="4" fillId="9" borderId="182" xfId="0" applyFont="1" applyFill="1" applyBorder="1" applyAlignment="1">
      <alignment horizontal="center" vertical="center"/>
    </xf>
    <xf numFmtId="0" fontId="19" fillId="14" borderId="184" xfId="0" applyFont="1" applyFill="1" applyBorder="1" applyAlignment="1">
      <alignment horizontal="center" vertical="center"/>
    </xf>
    <xf numFmtId="0" fontId="19" fillId="16" borderId="180" xfId="0" applyFont="1" applyFill="1" applyBorder="1" applyAlignment="1">
      <alignment horizontal="center" vertical="center"/>
    </xf>
    <xf numFmtId="0" fontId="19" fillId="16" borderId="181" xfId="0" applyFont="1" applyFill="1" applyBorder="1" applyAlignment="1">
      <alignment horizontal="center" vertical="center"/>
    </xf>
    <xf numFmtId="0" fontId="19" fillId="16" borderId="184" xfId="0" applyFont="1" applyFill="1" applyBorder="1" applyAlignment="1">
      <alignment horizontal="center" vertical="center"/>
    </xf>
    <xf numFmtId="0" fontId="19" fillId="39" borderId="25" xfId="0" applyFont="1" applyFill="1" applyBorder="1" applyAlignment="1">
      <alignment horizontal="center" vertical="center"/>
    </xf>
    <xf numFmtId="0" fontId="19" fillId="39" borderId="26" xfId="0" applyFont="1" applyFill="1" applyBorder="1" applyAlignment="1">
      <alignment horizontal="center" vertical="center"/>
    </xf>
    <xf numFmtId="0" fontId="19" fillId="39" borderId="10" xfId="0" applyFont="1" applyFill="1" applyBorder="1" applyAlignment="1">
      <alignment horizontal="center" vertical="center"/>
    </xf>
    <xf numFmtId="0" fontId="19" fillId="18" borderId="184" xfId="0" applyFont="1" applyFill="1" applyBorder="1" applyAlignment="1">
      <alignment horizontal="center" vertical="center"/>
    </xf>
    <xf numFmtId="0" fontId="5" fillId="16" borderId="3" xfId="0" applyFont="1" applyFill="1" applyBorder="1" applyAlignment="1">
      <alignment vertical="center"/>
    </xf>
    <xf numFmtId="0" fontId="5" fillId="16" borderId="15" xfId="0" applyFont="1" applyFill="1" applyBorder="1" applyAlignment="1">
      <alignment vertical="center"/>
    </xf>
    <xf numFmtId="0" fontId="5" fillId="16" borderId="35" xfId="0" applyFont="1" applyFill="1" applyBorder="1" applyAlignment="1">
      <alignment horizontal="center" vertical="center"/>
    </xf>
    <xf numFmtId="0" fontId="5" fillId="16" borderId="35" xfId="0" applyFont="1" applyFill="1" applyBorder="1" applyAlignment="1">
      <alignment vertical="center"/>
    </xf>
    <xf numFmtId="0" fontId="5" fillId="16" borderId="30" xfId="0" applyFont="1" applyFill="1" applyBorder="1" applyAlignment="1">
      <alignment vertical="center"/>
    </xf>
    <xf numFmtId="0" fontId="5" fillId="16" borderId="34" xfId="0" applyFont="1" applyFill="1" applyBorder="1" applyAlignment="1">
      <alignment vertical="center"/>
    </xf>
    <xf numFmtId="0" fontId="5" fillId="16" borderId="162" xfId="0" applyFont="1" applyFill="1" applyBorder="1" applyAlignment="1">
      <alignment vertical="center"/>
    </xf>
    <xf numFmtId="0" fontId="5" fillId="16" borderId="97" xfId="0" applyFont="1" applyFill="1" applyBorder="1" applyAlignment="1">
      <alignment vertical="center"/>
    </xf>
    <xf numFmtId="0" fontId="5" fillId="16" borderId="17" xfId="0" applyFont="1" applyFill="1" applyBorder="1" applyAlignment="1">
      <alignment vertical="center"/>
    </xf>
    <xf numFmtId="0" fontId="5" fillId="16" borderId="20" xfId="0" applyFont="1" applyFill="1" applyBorder="1" applyAlignment="1">
      <alignment vertical="center"/>
    </xf>
    <xf numFmtId="0" fontId="5" fillId="18" borderId="33" xfId="0" applyFont="1" applyFill="1" applyBorder="1" applyAlignment="1">
      <alignment vertical="center"/>
    </xf>
    <xf numFmtId="0" fontId="19" fillId="16" borderId="26" xfId="0" applyFont="1" applyFill="1" applyBorder="1" applyAlignment="1">
      <alignment horizontal="center" vertical="center"/>
    </xf>
    <xf numFmtId="0" fontId="19" fillId="16" borderId="25" xfId="0" applyFont="1" applyFill="1" applyBorder="1" applyAlignment="1">
      <alignment horizontal="center" vertical="center"/>
    </xf>
    <xf numFmtId="0" fontId="19" fillId="16" borderId="10" xfId="0" applyFont="1" applyFill="1" applyBorder="1" applyAlignment="1">
      <alignment horizontal="center" vertical="center"/>
    </xf>
    <xf numFmtId="0" fontId="19" fillId="14" borderId="131" xfId="0" applyFont="1" applyFill="1" applyBorder="1" applyAlignment="1">
      <alignment horizontal="center" vertical="center"/>
    </xf>
    <xf numFmtId="0" fontId="19" fillId="14" borderId="132" xfId="0" applyFont="1" applyFill="1" applyBorder="1" applyAlignment="1">
      <alignment horizontal="center" vertical="center"/>
    </xf>
    <xf numFmtId="0" fontId="19" fillId="14" borderId="157" xfId="0" applyFont="1" applyFill="1" applyBorder="1" applyAlignment="1">
      <alignment horizontal="center" vertical="center"/>
    </xf>
    <xf numFmtId="0" fontId="19" fillId="19" borderId="38" xfId="0" applyFont="1" applyFill="1" applyBorder="1" applyAlignment="1">
      <alignment horizontal="center" vertical="center"/>
    </xf>
    <xf numFmtId="0" fontId="19" fillId="19" borderId="39" xfId="0" applyFont="1" applyFill="1" applyBorder="1" applyAlignment="1">
      <alignment horizontal="center" vertical="center"/>
    </xf>
    <xf numFmtId="0" fontId="19" fillId="19" borderId="22" xfId="0" applyFont="1" applyFill="1" applyBorder="1" applyAlignment="1">
      <alignment horizontal="center" vertical="center"/>
    </xf>
    <xf numFmtId="0" fontId="5" fillId="16" borderId="11" xfId="0" applyFont="1" applyFill="1" applyBorder="1" applyAlignment="1">
      <alignment vertical="center"/>
    </xf>
    <xf numFmtId="0" fontId="5" fillId="2" borderId="104" xfId="0" applyFont="1" applyFill="1" applyBorder="1" applyAlignment="1">
      <alignment horizontal="center" vertical="center"/>
    </xf>
    <xf numFmtId="0" fontId="19" fillId="9" borderId="182" xfId="0" applyFont="1" applyFill="1" applyBorder="1" applyAlignment="1">
      <alignment horizontal="center" vertical="center"/>
    </xf>
    <xf numFmtId="0" fontId="19" fillId="14" borderId="179" xfId="0" applyFont="1" applyFill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16" borderId="21" xfId="0" applyFont="1" applyFill="1" applyBorder="1" applyAlignment="1">
      <alignment horizontal="center" vertical="center"/>
    </xf>
    <xf numFmtId="0" fontId="19" fillId="16" borderId="12" xfId="0" applyFont="1" applyFill="1" applyBorder="1" applyAlignment="1">
      <alignment horizontal="center" vertical="center"/>
    </xf>
    <xf numFmtId="0" fontId="19" fillId="16" borderId="16" xfId="0" applyFont="1" applyFill="1" applyBorder="1" applyAlignment="1">
      <alignment horizontal="center" vertical="center"/>
    </xf>
    <xf numFmtId="0" fontId="5" fillId="2" borderId="129" xfId="0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5" fillId="18" borderId="3" xfId="0" applyFont="1" applyFill="1" applyBorder="1" applyAlignment="1">
      <alignment vertical="center"/>
    </xf>
    <xf numFmtId="0" fontId="5" fillId="18" borderId="15" xfId="0" applyFont="1" applyFill="1" applyBorder="1" applyAlignment="1">
      <alignment vertical="center"/>
    </xf>
    <xf numFmtId="0" fontId="5" fillId="18" borderId="162" xfId="0" applyFont="1" applyFill="1" applyBorder="1" applyAlignment="1">
      <alignment vertical="center"/>
    </xf>
    <xf numFmtId="0" fontId="5" fillId="25" borderId="128" xfId="0" applyFont="1" applyFill="1" applyBorder="1" applyAlignment="1">
      <alignment horizontal="center" vertical="center" wrapText="1"/>
    </xf>
    <xf numFmtId="0" fontId="5" fillId="18" borderId="128" xfId="0" applyFont="1" applyFill="1" applyBorder="1" applyAlignment="1">
      <alignment vertical="center"/>
    </xf>
    <xf numFmtId="0" fontId="19" fillId="9" borderId="144" xfId="0" applyFont="1" applyFill="1" applyBorder="1" applyAlignment="1">
      <alignment horizontal="center" vertical="center"/>
    </xf>
    <xf numFmtId="0" fontId="19" fillId="9" borderId="145" xfId="0" applyFont="1" applyFill="1" applyBorder="1" applyAlignment="1">
      <alignment horizontal="center" vertical="center"/>
    </xf>
    <xf numFmtId="0" fontId="19" fillId="9" borderId="146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19" fillId="14" borderId="144" xfId="0" applyFont="1" applyFill="1" applyBorder="1" applyAlignment="1">
      <alignment horizontal="center" vertical="center"/>
    </xf>
    <xf numFmtId="0" fontId="19" fillId="14" borderId="145" xfId="0" applyFont="1" applyFill="1" applyBorder="1" applyAlignment="1">
      <alignment horizontal="center" vertical="center"/>
    </xf>
    <xf numFmtId="0" fontId="19" fillId="14" borderId="146" xfId="0" applyFont="1" applyFill="1" applyBorder="1" applyAlignment="1">
      <alignment horizontal="center" vertical="center"/>
    </xf>
    <xf numFmtId="0" fontId="19" fillId="19" borderId="144" xfId="0" applyFont="1" applyFill="1" applyBorder="1" applyAlignment="1">
      <alignment horizontal="center" vertical="center"/>
    </xf>
    <xf numFmtId="0" fontId="19" fillId="19" borderId="145" xfId="0" applyFont="1" applyFill="1" applyBorder="1" applyAlignment="1">
      <alignment horizontal="center" vertical="center"/>
    </xf>
    <xf numFmtId="0" fontId="19" fillId="18" borderId="25" xfId="0" applyFont="1" applyFill="1" applyBorder="1" applyAlignment="1">
      <alignment horizontal="center" vertical="center"/>
    </xf>
    <xf numFmtId="0" fontId="19" fillId="18" borderId="26" xfId="0" applyFont="1" applyFill="1" applyBorder="1" applyAlignment="1">
      <alignment horizontal="center" vertical="center"/>
    </xf>
    <xf numFmtId="0" fontId="19" fillId="18" borderId="10" xfId="0" applyFont="1" applyFill="1" applyBorder="1" applyAlignment="1">
      <alignment horizontal="center" vertical="center"/>
    </xf>
    <xf numFmtId="0" fontId="19" fillId="18" borderId="21" xfId="0" applyFont="1" applyFill="1" applyBorder="1" applyAlignment="1">
      <alignment horizontal="center" vertical="center"/>
    </xf>
    <xf numFmtId="0" fontId="19" fillId="19" borderId="21" xfId="0" applyFont="1" applyFill="1" applyBorder="1" applyAlignment="1">
      <alignment horizontal="center" vertical="center"/>
    </xf>
    <xf numFmtId="0" fontId="5" fillId="23" borderId="13" xfId="0" applyFont="1" applyFill="1" applyBorder="1" applyAlignment="1">
      <alignment horizontal="center" vertical="center"/>
    </xf>
    <xf numFmtId="0" fontId="9" fillId="9" borderId="142" xfId="0" applyFont="1" applyFill="1" applyBorder="1" applyAlignment="1">
      <alignment horizontal="center" vertical="center"/>
    </xf>
    <xf numFmtId="0" fontId="5" fillId="23" borderId="12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4" fillId="9" borderId="122" xfId="0" applyFont="1" applyFill="1" applyBorder="1" applyAlignment="1">
      <alignment horizontal="center" vertical="center"/>
    </xf>
    <xf numFmtId="0" fontId="4" fillId="9" borderId="158" xfId="0" applyFont="1" applyFill="1" applyBorder="1" applyAlignment="1">
      <alignment horizontal="center" vertical="center"/>
    </xf>
    <xf numFmtId="0" fontId="4" fillId="38" borderId="27" xfId="0" applyFont="1" applyFill="1" applyBorder="1" applyAlignment="1">
      <alignment horizontal="center" vertical="center"/>
    </xf>
    <xf numFmtId="0" fontId="4" fillId="23" borderId="14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9" borderId="147" xfId="0" applyFont="1" applyFill="1" applyBorder="1" applyAlignment="1">
      <alignment horizontal="center" vertical="center"/>
    </xf>
    <xf numFmtId="0" fontId="5" fillId="23" borderId="16" xfId="0" applyFont="1" applyFill="1" applyBorder="1" applyAlignment="1">
      <alignment horizontal="center" vertical="center"/>
    </xf>
    <xf numFmtId="0" fontId="19" fillId="19" borderId="146" xfId="0" applyFont="1" applyFill="1" applyBorder="1" applyAlignment="1">
      <alignment horizontal="center" vertical="center"/>
    </xf>
    <xf numFmtId="0" fontId="19" fillId="38" borderId="12" xfId="0" applyFont="1" applyFill="1" applyBorder="1" applyAlignment="1">
      <alignment horizontal="center" vertical="center"/>
    </xf>
    <xf numFmtId="0" fontId="19" fillId="38" borderId="13" xfId="0" applyFont="1" applyFill="1" applyBorder="1" applyAlignment="1">
      <alignment horizontal="center" vertical="center"/>
    </xf>
    <xf numFmtId="0" fontId="19" fillId="38" borderId="16" xfId="0" applyFont="1" applyFill="1" applyBorder="1" applyAlignment="1">
      <alignment horizontal="center" vertical="center"/>
    </xf>
    <xf numFmtId="0" fontId="4" fillId="38" borderId="12" xfId="0" applyFont="1" applyFill="1" applyBorder="1" applyAlignment="1">
      <alignment horizontal="center" vertical="center"/>
    </xf>
    <xf numFmtId="0" fontId="4" fillId="38" borderId="13" xfId="0" applyFont="1" applyFill="1" applyBorder="1" applyAlignment="1">
      <alignment horizontal="center" vertical="center"/>
    </xf>
    <xf numFmtId="0" fontId="4" fillId="38" borderId="16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vertical="center"/>
    </xf>
    <xf numFmtId="0" fontId="33" fillId="19" borderId="12" xfId="0" applyFont="1" applyFill="1" applyBorder="1" applyAlignment="1">
      <alignment horizontal="center" vertical="center"/>
    </xf>
    <xf numFmtId="0" fontId="33" fillId="19" borderId="13" xfId="0" applyFont="1" applyFill="1" applyBorder="1" applyAlignment="1">
      <alignment horizontal="center" vertical="center"/>
    </xf>
    <xf numFmtId="0" fontId="33" fillId="19" borderId="16" xfId="0" applyFont="1" applyFill="1" applyBorder="1" applyAlignment="1">
      <alignment horizontal="center" vertical="center"/>
    </xf>
    <xf numFmtId="0" fontId="19" fillId="19" borderId="18" xfId="0" applyFont="1" applyFill="1" applyBorder="1" applyAlignment="1">
      <alignment horizontal="center" vertical="center"/>
    </xf>
    <xf numFmtId="0" fontId="4" fillId="39" borderId="12" xfId="0" applyFont="1" applyFill="1" applyBorder="1" applyAlignment="1">
      <alignment horizontal="center" vertical="center"/>
    </xf>
    <xf numFmtId="0" fontId="4" fillId="39" borderId="13" xfId="0" applyFont="1" applyFill="1" applyBorder="1" applyAlignment="1">
      <alignment horizontal="center" vertical="center"/>
    </xf>
    <xf numFmtId="0" fontId="4" fillId="39" borderId="14" xfId="0" applyFont="1" applyFill="1" applyBorder="1" applyAlignment="1">
      <alignment horizontal="center" vertical="center"/>
    </xf>
    <xf numFmtId="0" fontId="19" fillId="39" borderId="18" xfId="0" applyFont="1" applyFill="1" applyBorder="1" applyAlignment="1">
      <alignment horizontal="center" vertical="center"/>
    </xf>
    <xf numFmtId="0" fontId="19" fillId="39" borderId="13" xfId="0" applyFont="1" applyFill="1" applyBorder="1" applyAlignment="1">
      <alignment horizontal="center" vertical="center"/>
    </xf>
    <xf numFmtId="0" fontId="19" fillId="39" borderId="16" xfId="0" applyFont="1" applyFill="1" applyBorder="1" applyAlignment="1">
      <alignment horizontal="center" vertical="center"/>
    </xf>
    <xf numFmtId="0" fontId="19" fillId="39" borderId="12" xfId="0" applyFont="1" applyFill="1" applyBorder="1" applyAlignment="1">
      <alignment horizontal="center" vertical="center"/>
    </xf>
    <xf numFmtId="0" fontId="19" fillId="39" borderId="14" xfId="0" applyFont="1" applyFill="1" applyBorder="1" applyAlignment="1">
      <alignment horizontal="center" vertical="center"/>
    </xf>
    <xf numFmtId="0" fontId="19" fillId="23" borderId="18" xfId="0" applyFont="1" applyFill="1" applyBorder="1" applyAlignment="1">
      <alignment horizontal="center" vertical="center"/>
    </xf>
    <xf numFmtId="0" fontId="33" fillId="23" borderId="13" xfId="0" applyFont="1" applyFill="1" applyBorder="1" applyAlignment="1">
      <alignment horizontal="center" vertical="center"/>
    </xf>
    <xf numFmtId="0" fontId="33" fillId="23" borderId="14" xfId="0" applyFont="1" applyFill="1" applyBorder="1" applyAlignment="1">
      <alignment horizontal="center" vertical="center"/>
    </xf>
    <xf numFmtId="0" fontId="19" fillId="23" borderId="14" xfId="0" applyFont="1" applyFill="1" applyBorder="1" applyAlignment="1">
      <alignment horizontal="center" vertical="center"/>
    </xf>
    <xf numFmtId="0" fontId="19" fillId="19" borderId="9" xfId="0" applyFont="1" applyFill="1" applyBorder="1" applyAlignment="1">
      <alignment horizontal="center" vertical="center"/>
    </xf>
    <xf numFmtId="0" fontId="4" fillId="19" borderId="132" xfId="0" applyFont="1" applyFill="1" applyBorder="1" applyAlignment="1">
      <alignment horizontal="center" vertical="center"/>
    </xf>
    <xf numFmtId="0" fontId="4" fillId="19" borderId="157" xfId="0" applyFont="1" applyFill="1" applyBorder="1" applyAlignment="1">
      <alignment horizontal="center" vertical="center"/>
    </xf>
    <xf numFmtId="0" fontId="4" fillId="19" borderId="14" xfId="0" applyFont="1" applyFill="1" applyBorder="1" applyAlignment="1">
      <alignment horizontal="center" vertical="center"/>
    </xf>
    <xf numFmtId="0" fontId="4" fillId="19" borderId="22" xfId="0" applyFont="1" applyFill="1" applyBorder="1" applyAlignment="1">
      <alignment horizontal="center" vertical="center"/>
    </xf>
    <xf numFmtId="0" fontId="19" fillId="19" borderId="179" xfId="0" applyFont="1" applyFill="1" applyBorder="1" applyAlignment="1">
      <alignment horizontal="center" vertical="center"/>
    </xf>
    <xf numFmtId="0" fontId="19" fillId="19" borderId="157" xfId="0" applyFont="1" applyFill="1" applyBorder="1" applyAlignment="1">
      <alignment horizontal="center" vertical="center"/>
    </xf>
    <xf numFmtId="0" fontId="4" fillId="19" borderId="27" xfId="0" applyFont="1" applyFill="1" applyBorder="1" applyAlignment="1">
      <alignment horizontal="center" vertical="center"/>
    </xf>
    <xf numFmtId="0" fontId="19" fillId="16" borderId="9" xfId="0" applyFont="1" applyFill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40" borderId="12" xfId="0" applyFont="1" applyFill="1" applyBorder="1" applyAlignment="1">
      <alignment horizontal="center" vertical="center"/>
    </xf>
    <xf numFmtId="0" fontId="19" fillId="40" borderId="13" xfId="0" applyFont="1" applyFill="1" applyBorder="1" applyAlignment="1">
      <alignment horizontal="center" vertical="center"/>
    </xf>
    <xf numFmtId="0" fontId="19" fillId="40" borderId="16" xfId="0" applyFont="1" applyFill="1" applyBorder="1" applyAlignment="1">
      <alignment horizontal="center" vertical="center"/>
    </xf>
    <xf numFmtId="0" fontId="4" fillId="40" borderId="12" xfId="0" applyFont="1" applyFill="1" applyBorder="1" applyAlignment="1">
      <alignment horizontal="center" vertical="center"/>
    </xf>
    <xf numFmtId="0" fontId="4" fillId="40" borderId="13" xfId="0" applyFont="1" applyFill="1" applyBorder="1" applyAlignment="1">
      <alignment horizontal="center" vertical="center"/>
    </xf>
    <xf numFmtId="0" fontId="4" fillId="40" borderId="16" xfId="0" applyFont="1" applyFill="1" applyBorder="1" applyAlignment="1">
      <alignment horizontal="center" vertical="center"/>
    </xf>
    <xf numFmtId="0" fontId="19" fillId="19" borderId="183" xfId="0" applyFont="1" applyFill="1" applyBorder="1" applyAlignment="1">
      <alignment horizontal="center" vertical="center"/>
    </xf>
    <xf numFmtId="0" fontId="19" fillId="16" borderId="18" xfId="0" applyFont="1" applyFill="1" applyBorder="1" applyAlignment="1">
      <alignment horizontal="center" vertical="center"/>
    </xf>
    <xf numFmtId="0" fontId="4" fillId="30" borderId="13" xfId="0" applyFont="1" applyFill="1" applyBorder="1" applyAlignment="1">
      <alignment horizontal="center" vertical="center"/>
    </xf>
    <xf numFmtId="0" fontId="4" fillId="30" borderId="14" xfId="0" applyFont="1" applyFill="1" applyBorder="1" applyAlignment="1">
      <alignment horizontal="center" vertical="center"/>
    </xf>
    <xf numFmtId="0" fontId="5" fillId="16" borderId="31" xfId="0" applyFont="1" applyFill="1" applyBorder="1" applyAlignment="1">
      <alignment vertical="center"/>
    </xf>
    <xf numFmtId="0" fontId="20" fillId="16" borderId="2" xfId="0" applyFont="1" applyFill="1" applyBorder="1" applyAlignment="1">
      <alignment vertical="center"/>
    </xf>
    <xf numFmtId="0" fontId="19" fillId="14" borderId="183" xfId="0" applyFont="1" applyFill="1" applyBorder="1" applyAlignment="1">
      <alignment horizontal="center" vertical="center"/>
    </xf>
    <xf numFmtId="0" fontId="4" fillId="30" borderId="18" xfId="0" applyFont="1" applyFill="1" applyBorder="1" applyAlignment="1">
      <alignment horizontal="center" vertical="center"/>
    </xf>
    <xf numFmtId="0" fontId="4" fillId="19" borderId="18" xfId="0" applyFont="1" applyFill="1" applyBorder="1" applyAlignment="1">
      <alignment horizontal="center" vertical="center"/>
    </xf>
    <xf numFmtId="0" fontId="4" fillId="19" borderId="179" xfId="0" applyFont="1" applyFill="1" applyBorder="1" applyAlignment="1">
      <alignment horizontal="center" vertical="center"/>
    </xf>
    <xf numFmtId="0" fontId="19" fillId="17" borderId="25" xfId="0" applyFont="1" applyFill="1" applyBorder="1" applyAlignment="1">
      <alignment horizontal="center" vertical="center"/>
    </xf>
    <xf numFmtId="0" fontId="19" fillId="17" borderId="26" xfId="0" applyFont="1" applyFill="1" applyBorder="1" applyAlignment="1">
      <alignment horizontal="center" vertical="center"/>
    </xf>
    <xf numFmtId="0" fontId="19" fillId="17" borderId="10" xfId="0" applyFont="1" applyFill="1" applyBorder="1" applyAlignment="1">
      <alignment horizontal="center" vertical="center"/>
    </xf>
    <xf numFmtId="0" fontId="19" fillId="17" borderId="12" xfId="0" applyFont="1" applyFill="1" applyBorder="1" applyAlignment="1">
      <alignment horizontal="center" vertical="center"/>
    </xf>
    <xf numFmtId="0" fontId="19" fillId="17" borderId="13" xfId="0" applyFont="1" applyFill="1" applyBorder="1" applyAlignment="1">
      <alignment horizontal="center" vertical="center"/>
    </xf>
    <xf numFmtId="0" fontId="19" fillId="17" borderId="16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5" fillId="18" borderId="4" xfId="0" applyFont="1" applyFill="1" applyBorder="1" applyAlignment="1">
      <alignment vertical="center"/>
    </xf>
    <xf numFmtId="0" fontId="19" fillId="30" borderId="131" xfId="0" applyFont="1" applyFill="1" applyBorder="1" applyAlignment="1">
      <alignment horizontal="center" vertical="center"/>
    </xf>
    <xf numFmtId="0" fontId="19" fillId="30" borderId="132" xfId="0" applyFont="1" applyFill="1" applyBorder="1" applyAlignment="1">
      <alignment horizontal="center" vertical="center"/>
    </xf>
    <xf numFmtId="0" fontId="19" fillId="30" borderId="157" xfId="0" applyFont="1" applyFill="1" applyBorder="1" applyAlignment="1">
      <alignment horizontal="center" vertical="center"/>
    </xf>
    <xf numFmtId="0" fontId="19" fillId="24" borderId="12" xfId="0" applyFont="1" applyFill="1" applyBorder="1" applyAlignment="1">
      <alignment horizontal="center" vertical="center"/>
    </xf>
    <xf numFmtId="0" fontId="19" fillId="24" borderId="13" xfId="0" applyFont="1" applyFill="1" applyBorder="1" applyAlignment="1">
      <alignment horizontal="center" vertical="center"/>
    </xf>
    <xf numFmtId="0" fontId="19" fillId="24" borderId="16" xfId="0" applyFont="1" applyFill="1" applyBorder="1" applyAlignment="1">
      <alignment horizontal="center" vertical="center"/>
    </xf>
    <xf numFmtId="0" fontId="19" fillId="24" borderId="25" xfId="0" applyFont="1" applyFill="1" applyBorder="1" applyAlignment="1">
      <alignment horizontal="center" vertical="center"/>
    </xf>
    <xf numFmtId="0" fontId="19" fillId="24" borderId="26" xfId="0" applyFont="1" applyFill="1" applyBorder="1" applyAlignment="1">
      <alignment horizontal="center" vertical="center"/>
    </xf>
    <xf numFmtId="0" fontId="19" fillId="24" borderId="10" xfId="0" applyFont="1" applyFill="1" applyBorder="1" applyAlignment="1">
      <alignment horizontal="center" vertical="center"/>
    </xf>
    <xf numFmtId="0" fontId="33" fillId="24" borderId="12" xfId="0" applyFont="1" applyFill="1" applyBorder="1" applyAlignment="1">
      <alignment horizontal="center" vertical="center"/>
    </xf>
    <xf numFmtId="0" fontId="33" fillId="24" borderId="13" xfId="0" applyFont="1" applyFill="1" applyBorder="1" applyAlignment="1">
      <alignment horizontal="center" vertical="center"/>
    </xf>
    <xf numFmtId="0" fontId="33" fillId="24" borderId="16" xfId="0" applyFont="1" applyFill="1" applyBorder="1" applyAlignment="1">
      <alignment horizontal="center" vertical="center"/>
    </xf>
    <xf numFmtId="0" fontId="4" fillId="24" borderId="180" xfId="0" applyFont="1" applyFill="1" applyBorder="1" applyAlignment="1">
      <alignment horizontal="center" vertical="center"/>
    </xf>
    <xf numFmtId="0" fontId="4" fillId="24" borderId="181" xfId="0" applyFont="1" applyFill="1" applyBorder="1" applyAlignment="1">
      <alignment horizontal="center" vertical="center"/>
    </xf>
    <xf numFmtId="0" fontId="4" fillId="24" borderId="184" xfId="0" applyFont="1" applyFill="1" applyBorder="1" applyAlignment="1">
      <alignment horizontal="center" vertical="center"/>
    </xf>
    <xf numFmtId="0" fontId="19" fillId="24" borderId="18" xfId="0" applyFont="1" applyFill="1" applyBorder="1" applyAlignment="1">
      <alignment horizontal="center" vertical="center"/>
    </xf>
    <xf numFmtId="0" fontId="19" fillId="24" borderId="44" xfId="0" applyFont="1" applyFill="1" applyBorder="1" applyAlignment="1">
      <alignment horizontal="center" vertical="center"/>
    </xf>
    <xf numFmtId="0" fontId="19" fillId="24" borderId="55" xfId="0" applyFont="1" applyFill="1" applyBorder="1" applyAlignment="1">
      <alignment horizontal="center" vertical="center"/>
    </xf>
    <xf numFmtId="0" fontId="19" fillId="9" borderId="218" xfId="0" applyFont="1" applyFill="1" applyBorder="1" applyAlignment="1">
      <alignment horizontal="center" vertical="center"/>
    </xf>
    <xf numFmtId="0" fontId="19" fillId="9" borderId="219" xfId="0" applyFont="1" applyFill="1" applyBorder="1" applyAlignment="1">
      <alignment horizontal="center" vertical="center"/>
    </xf>
    <xf numFmtId="0" fontId="19" fillId="24" borderId="38" xfId="0" applyFont="1" applyFill="1" applyBorder="1" applyAlignment="1">
      <alignment horizontal="center" vertical="center"/>
    </xf>
    <xf numFmtId="0" fontId="19" fillId="24" borderId="39" xfId="0" applyFont="1" applyFill="1" applyBorder="1" applyAlignment="1">
      <alignment horizontal="center" vertical="center"/>
    </xf>
    <xf numFmtId="0" fontId="19" fillId="24" borderId="21" xfId="0" applyFont="1" applyFill="1" applyBorder="1" applyAlignment="1">
      <alignment horizontal="center" vertical="center"/>
    </xf>
    <xf numFmtId="0" fontId="19" fillId="11" borderId="12" xfId="0" applyFont="1" applyFill="1" applyBorder="1" applyAlignment="1">
      <alignment horizontal="center" vertical="center"/>
    </xf>
    <xf numFmtId="0" fontId="19" fillId="11" borderId="13" xfId="0" applyFont="1" applyFill="1" applyBorder="1" applyAlignment="1">
      <alignment horizontal="center" vertical="center"/>
    </xf>
    <xf numFmtId="0" fontId="19" fillId="11" borderId="16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4" fillId="11" borderId="16" xfId="0" applyFont="1" applyFill="1" applyBorder="1" applyAlignment="1">
      <alignment horizontal="center" vertical="center"/>
    </xf>
    <xf numFmtId="0" fontId="19" fillId="11" borderId="44" xfId="0" applyFont="1" applyFill="1" applyBorder="1" applyAlignment="1">
      <alignment horizontal="center" vertical="center"/>
    </xf>
    <xf numFmtId="0" fontId="19" fillId="11" borderId="55" xfId="0" applyFont="1" applyFill="1" applyBorder="1" applyAlignment="1">
      <alignment horizontal="center" vertical="center"/>
    </xf>
    <xf numFmtId="0" fontId="19" fillId="11" borderId="18" xfId="0" applyFont="1" applyFill="1" applyBorder="1" applyAlignment="1">
      <alignment horizontal="center" vertical="center"/>
    </xf>
    <xf numFmtId="0" fontId="19" fillId="11" borderId="14" xfId="0" applyFont="1" applyFill="1" applyBorder="1" applyAlignment="1">
      <alignment horizontal="center" vertical="center"/>
    </xf>
    <xf numFmtId="0" fontId="19" fillId="24" borderId="14" xfId="0" applyFont="1" applyFill="1" applyBorder="1" applyAlignment="1">
      <alignment horizontal="center" vertical="center"/>
    </xf>
    <xf numFmtId="0" fontId="19" fillId="9" borderId="179" xfId="0" applyFont="1" applyFill="1" applyBorder="1" applyAlignment="1">
      <alignment horizontal="center" vertical="center"/>
    </xf>
    <xf numFmtId="0" fontId="24" fillId="11" borderId="129" xfId="0" applyFont="1" applyFill="1" applyBorder="1" applyAlignment="1">
      <alignment horizontal="center" vertical="center"/>
    </xf>
    <xf numFmtId="0" fontId="40" fillId="0" borderId="1" xfId="0" applyFont="1" applyBorder="1"/>
    <xf numFmtId="0" fontId="40" fillId="9" borderId="1" xfId="0" applyFont="1" applyFill="1" applyBorder="1"/>
    <xf numFmtId="0" fontId="19" fillId="30" borderId="180" xfId="0" applyFont="1" applyFill="1" applyBorder="1" applyAlignment="1">
      <alignment horizontal="center" vertical="center"/>
    </xf>
    <xf numFmtId="0" fontId="19" fillId="30" borderId="181" xfId="0" applyFont="1" applyFill="1" applyBorder="1" applyAlignment="1">
      <alignment horizontal="center" vertical="center"/>
    </xf>
    <xf numFmtId="0" fontId="19" fillId="30" borderId="184" xfId="0" applyFont="1" applyFill="1" applyBorder="1" applyAlignment="1">
      <alignment horizontal="center" vertical="center"/>
    </xf>
    <xf numFmtId="0" fontId="19" fillId="14" borderId="40" xfId="0" applyFont="1" applyFill="1" applyBorder="1" applyAlignment="1">
      <alignment horizontal="center" vertical="center"/>
    </xf>
    <xf numFmtId="0" fontId="5" fillId="9" borderId="35" xfId="0" applyFont="1" applyFill="1" applyBorder="1" applyAlignment="1">
      <alignment horizontal="center" vertical="center"/>
    </xf>
    <xf numFmtId="0" fontId="5" fillId="16" borderId="30" xfId="0" applyFont="1" applyFill="1" applyBorder="1" applyAlignment="1">
      <alignment horizontal="center" vertical="center"/>
    </xf>
    <xf numFmtId="0" fontId="31" fillId="9" borderId="1" xfId="0" applyFont="1" applyFill="1" applyBorder="1" applyAlignment="1">
      <alignment horizontal="center" vertical="center" wrapText="1"/>
    </xf>
    <xf numFmtId="0" fontId="26" fillId="9" borderId="1" xfId="0" applyFont="1" applyFill="1" applyBorder="1" applyAlignment="1">
      <alignment horizontal="center" vertical="center" wrapText="1"/>
    </xf>
    <xf numFmtId="0" fontId="20" fillId="16" borderId="128" xfId="0" applyFont="1" applyFill="1" applyBorder="1" applyAlignment="1">
      <alignment vertical="center"/>
    </xf>
    <xf numFmtId="0" fontId="19" fillId="9" borderId="40" xfId="0" applyFont="1" applyFill="1" applyBorder="1" applyAlignment="1">
      <alignment horizontal="center" vertical="center"/>
    </xf>
    <xf numFmtId="0" fontId="19" fillId="9" borderId="5" xfId="0" applyFont="1" applyFill="1" applyBorder="1" applyAlignment="1">
      <alignment horizontal="center" vertical="center"/>
    </xf>
    <xf numFmtId="0" fontId="19" fillId="9" borderId="7" xfId="0" applyFont="1" applyFill="1" applyBorder="1" applyAlignment="1">
      <alignment horizontal="center" vertical="center"/>
    </xf>
    <xf numFmtId="0" fontId="19" fillId="9" borderId="6" xfId="0" applyFont="1" applyFill="1" applyBorder="1" applyAlignment="1">
      <alignment horizontal="center" vertical="center"/>
    </xf>
    <xf numFmtId="0" fontId="19" fillId="22" borderId="38" xfId="0" applyFont="1" applyFill="1" applyBorder="1" applyAlignment="1">
      <alignment horizontal="center" vertical="center"/>
    </xf>
    <xf numFmtId="0" fontId="19" fillId="22" borderId="39" xfId="0" applyFont="1" applyFill="1" applyBorder="1" applyAlignment="1">
      <alignment horizontal="center" vertical="center"/>
    </xf>
    <xf numFmtId="0" fontId="19" fillId="22" borderId="21" xfId="0" applyFont="1" applyFill="1" applyBorder="1" applyAlignment="1">
      <alignment horizontal="center" vertical="center"/>
    </xf>
    <xf numFmtId="0" fontId="4" fillId="22" borderId="38" xfId="0" applyFont="1" applyFill="1" applyBorder="1" applyAlignment="1">
      <alignment horizontal="center" vertical="center"/>
    </xf>
    <xf numFmtId="0" fontId="4" fillId="22" borderId="39" xfId="0" applyFont="1" applyFill="1" applyBorder="1" applyAlignment="1">
      <alignment horizontal="center" vertical="center"/>
    </xf>
    <xf numFmtId="0" fontId="4" fillId="22" borderId="21" xfId="0" applyFont="1" applyFill="1" applyBorder="1" applyAlignment="1">
      <alignment horizontal="center" vertical="center"/>
    </xf>
    <xf numFmtId="0" fontId="33" fillId="14" borderId="12" xfId="0" applyFont="1" applyFill="1" applyBorder="1" applyAlignment="1">
      <alignment horizontal="center" vertical="center"/>
    </xf>
    <xf numFmtId="0" fontId="33" fillId="14" borderId="13" xfId="0" applyFont="1" applyFill="1" applyBorder="1" applyAlignment="1">
      <alignment horizontal="center" vertical="center"/>
    </xf>
    <xf numFmtId="0" fontId="33" fillId="14" borderId="16" xfId="0" applyFont="1" applyFill="1" applyBorder="1" applyAlignment="1">
      <alignment horizontal="center" vertical="center"/>
    </xf>
    <xf numFmtId="0" fontId="36" fillId="9" borderId="1" xfId="0" applyFont="1" applyFill="1" applyBorder="1" applyAlignment="1">
      <alignment horizontal="center" vertical="center" wrapText="1"/>
    </xf>
    <xf numFmtId="0" fontId="5" fillId="9" borderId="24" xfId="0" applyFont="1" applyFill="1" applyBorder="1" applyAlignment="1">
      <alignment horizontal="center" vertical="center"/>
    </xf>
    <xf numFmtId="0" fontId="5" fillId="9" borderId="28" xfId="0" applyFont="1" applyFill="1" applyBorder="1" applyAlignment="1">
      <alignment horizontal="center" vertical="center"/>
    </xf>
    <xf numFmtId="0" fontId="5" fillId="9" borderId="29" xfId="0" applyFont="1" applyFill="1" applyBorder="1" applyAlignment="1">
      <alignment horizontal="center" vertical="center"/>
    </xf>
    <xf numFmtId="0" fontId="5" fillId="9" borderId="31" xfId="0" applyFont="1" applyFill="1" applyBorder="1" applyAlignment="1">
      <alignment horizontal="center" vertical="center"/>
    </xf>
    <xf numFmtId="0" fontId="5" fillId="9" borderId="33" xfId="0" applyFont="1" applyFill="1" applyBorder="1" applyAlignment="1">
      <alignment horizontal="center" vertical="center"/>
    </xf>
    <xf numFmtId="0" fontId="5" fillId="25" borderId="80" xfId="0" applyFont="1" applyFill="1" applyBorder="1" applyAlignment="1">
      <alignment horizontal="center" vertical="center" wrapText="1"/>
    </xf>
    <xf numFmtId="0" fontId="5" fillId="18" borderId="31" xfId="0" applyFont="1" applyFill="1" applyBorder="1" applyAlignment="1">
      <alignment vertical="center"/>
    </xf>
    <xf numFmtId="0" fontId="5" fillId="19" borderId="25" xfId="0" applyFont="1" applyFill="1" applyBorder="1" applyAlignment="1">
      <alignment horizontal="center" vertical="center"/>
    </xf>
    <xf numFmtId="0" fontId="5" fillId="19" borderId="26" xfId="0" applyFont="1" applyFill="1" applyBorder="1" applyAlignment="1">
      <alignment horizontal="center" vertical="center"/>
    </xf>
    <xf numFmtId="0" fontId="5" fillId="19" borderId="10" xfId="0" applyFont="1" applyFill="1" applyBorder="1" applyAlignment="1">
      <alignment horizontal="center" vertical="center"/>
    </xf>
    <xf numFmtId="0" fontId="5" fillId="2" borderId="186" xfId="0" applyFont="1" applyFill="1" applyBorder="1" applyAlignment="1">
      <alignment horizontal="center" vertical="center"/>
    </xf>
    <xf numFmtId="0" fontId="5" fillId="2" borderId="221" xfId="0" applyFont="1" applyFill="1" applyBorder="1" applyAlignment="1">
      <alignment horizontal="center" vertical="center"/>
    </xf>
    <xf numFmtId="0" fontId="5" fillId="2" borderId="22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2" borderId="136" xfId="0" applyFont="1" applyFill="1" applyBorder="1" applyAlignment="1">
      <alignment horizontal="center" vertical="center"/>
    </xf>
    <xf numFmtId="0" fontId="19" fillId="14" borderId="133" xfId="0" applyFont="1" applyFill="1" applyBorder="1" applyAlignment="1">
      <alignment horizontal="center" vertical="center"/>
    </xf>
    <xf numFmtId="0" fontId="19" fillId="16" borderId="14" xfId="0" applyFont="1" applyFill="1" applyBorder="1" applyAlignment="1">
      <alignment horizontal="center" vertical="center"/>
    </xf>
    <xf numFmtId="0" fontId="33" fillId="14" borderId="18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5" fillId="9" borderId="17" xfId="0" applyFont="1" applyFill="1" applyBorder="1" applyAlignment="1">
      <alignment horizontal="center" vertical="center"/>
    </xf>
    <xf numFmtId="0" fontId="5" fillId="9" borderId="168" xfId="0" applyFont="1" applyFill="1" applyBorder="1" applyAlignment="1">
      <alignment horizontal="center" vertical="center"/>
    </xf>
    <xf numFmtId="0" fontId="9" fillId="19" borderId="179" xfId="0" applyFont="1" applyFill="1" applyBorder="1" applyAlignment="1">
      <alignment horizontal="center" vertical="center"/>
    </xf>
    <xf numFmtId="0" fontId="9" fillId="19" borderId="132" xfId="0" applyFont="1" applyFill="1" applyBorder="1" applyAlignment="1">
      <alignment horizontal="center" vertical="center"/>
    </xf>
    <xf numFmtId="0" fontId="9" fillId="19" borderId="157" xfId="0" applyFont="1" applyFill="1" applyBorder="1" applyAlignment="1">
      <alignment horizontal="center" vertical="center"/>
    </xf>
    <xf numFmtId="0" fontId="5" fillId="19" borderId="40" xfId="0" applyFont="1" applyFill="1" applyBorder="1" applyAlignment="1">
      <alignment horizontal="center" vertical="center"/>
    </xf>
    <xf numFmtId="0" fontId="5" fillId="19" borderId="5" xfId="0" applyFont="1" applyFill="1" applyBorder="1" applyAlignment="1">
      <alignment horizontal="center" vertical="center"/>
    </xf>
    <xf numFmtId="0" fontId="5" fillId="16" borderId="4" xfId="0" applyFont="1" applyFill="1" applyBorder="1" applyAlignment="1">
      <alignment vertical="center"/>
    </xf>
    <xf numFmtId="0" fontId="5" fillId="16" borderId="168" xfId="0" applyFont="1" applyFill="1" applyBorder="1" applyAlignment="1">
      <alignment vertical="center"/>
    </xf>
    <xf numFmtId="0" fontId="42" fillId="14" borderId="131" xfId="0" applyFont="1" applyFill="1" applyBorder="1"/>
    <xf numFmtId="0" fontId="4" fillId="14" borderId="133" xfId="0" applyFont="1" applyFill="1" applyBorder="1" applyAlignment="1">
      <alignment horizontal="center" vertical="center"/>
    </xf>
    <xf numFmtId="0" fontId="5" fillId="16" borderId="28" xfId="0" applyFont="1" applyFill="1" applyBorder="1" applyAlignment="1">
      <alignment vertical="center"/>
    </xf>
    <xf numFmtId="0" fontId="20" fillId="16" borderId="37" xfId="0" applyFont="1" applyFill="1" applyBorder="1" applyAlignment="1">
      <alignment vertical="center"/>
    </xf>
    <xf numFmtId="0" fontId="20" fillId="16" borderId="30" xfId="0" applyFont="1" applyFill="1" applyBorder="1" applyAlignment="1">
      <alignment vertical="center"/>
    </xf>
    <xf numFmtId="0" fontId="9" fillId="19" borderId="9" xfId="0" applyFont="1" applyFill="1" applyBorder="1" applyAlignment="1">
      <alignment horizontal="center" vertical="center"/>
    </xf>
    <xf numFmtId="0" fontId="5" fillId="19" borderId="18" xfId="0" applyFont="1" applyFill="1" applyBorder="1" applyAlignment="1">
      <alignment horizontal="center" vertical="center"/>
    </xf>
    <xf numFmtId="0" fontId="5" fillId="19" borderId="7" xfId="0" applyFont="1" applyFill="1" applyBorder="1" applyAlignment="1">
      <alignment horizontal="center" vertical="center"/>
    </xf>
    <xf numFmtId="0" fontId="5" fillId="16" borderId="32" xfId="0" applyFont="1" applyFill="1" applyBorder="1" applyAlignment="1">
      <alignment horizontal="center" vertical="center"/>
    </xf>
    <xf numFmtId="0" fontId="19" fillId="30" borderId="25" xfId="0" applyFont="1" applyFill="1" applyBorder="1" applyAlignment="1">
      <alignment horizontal="center" vertical="center"/>
    </xf>
    <xf numFmtId="0" fontId="19" fillId="30" borderId="26" xfId="0" applyFont="1" applyFill="1" applyBorder="1" applyAlignment="1">
      <alignment horizontal="center" vertical="center"/>
    </xf>
    <xf numFmtId="0" fontId="19" fillId="30" borderId="10" xfId="0" applyFont="1" applyFill="1" applyBorder="1" applyAlignment="1">
      <alignment horizontal="center" vertical="center"/>
    </xf>
    <xf numFmtId="0" fontId="5" fillId="30" borderId="13" xfId="0" applyFont="1" applyFill="1" applyBorder="1" applyAlignment="1">
      <alignment horizontal="center" vertical="center"/>
    </xf>
    <xf numFmtId="0" fontId="9" fillId="30" borderId="13" xfId="0" applyFont="1" applyFill="1" applyBorder="1" applyAlignment="1">
      <alignment horizontal="center" vertical="center"/>
    </xf>
    <xf numFmtId="0" fontId="9" fillId="30" borderId="16" xfId="0" applyFont="1" applyFill="1" applyBorder="1" applyAlignment="1">
      <alignment horizontal="center" vertical="center"/>
    </xf>
    <xf numFmtId="0" fontId="5" fillId="30" borderId="16" xfId="0" applyFont="1" applyFill="1" applyBorder="1" applyAlignment="1">
      <alignment horizontal="center" vertical="center"/>
    </xf>
    <xf numFmtId="0" fontId="5" fillId="30" borderId="25" xfId="0" applyFont="1" applyFill="1" applyBorder="1" applyAlignment="1">
      <alignment horizontal="center" vertical="center"/>
    </xf>
    <xf numFmtId="0" fontId="5" fillId="30" borderId="26" xfId="0" applyFont="1" applyFill="1" applyBorder="1" applyAlignment="1">
      <alignment horizontal="center" vertical="center"/>
    </xf>
    <xf numFmtId="0" fontId="5" fillId="30" borderId="10" xfId="0" applyFont="1" applyFill="1" applyBorder="1" applyAlignment="1">
      <alignment horizontal="center" vertical="center"/>
    </xf>
    <xf numFmtId="0" fontId="9" fillId="30" borderId="25" xfId="0" applyFont="1" applyFill="1" applyBorder="1" applyAlignment="1">
      <alignment horizontal="center" vertical="center"/>
    </xf>
    <xf numFmtId="0" fontId="9" fillId="30" borderId="26" xfId="0" applyFont="1" applyFill="1" applyBorder="1" applyAlignment="1">
      <alignment horizontal="center" vertical="center"/>
    </xf>
    <xf numFmtId="0" fontId="9" fillId="30" borderId="10" xfId="0" applyFont="1" applyFill="1" applyBorder="1" applyAlignment="1">
      <alignment horizontal="center" vertical="center"/>
    </xf>
    <xf numFmtId="0" fontId="9" fillId="30" borderId="12" xfId="0" applyFont="1" applyFill="1" applyBorder="1" applyAlignment="1">
      <alignment horizontal="center" vertical="center"/>
    </xf>
    <xf numFmtId="0" fontId="5" fillId="46" borderId="12" xfId="0" applyFont="1" applyFill="1" applyBorder="1" applyAlignment="1">
      <alignment horizontal="center" vertical="center"/>
    </xf>
    <xf numFmtId="0" fontId="5" fillId="46" borderId="13" xfId="0" applyFont="1" applyFill="1" applyBorder="1" applyAlignment="1">
      <alignment horizontal="center" vertical="center"/>
    </xf>
    <xf numFmtId="0" fontId="5" fillId="15" borderId="25" xfId="0" applyFont="1" applyFill="1" applyBorder="1" applyAlignment="1">
      <alignment horizontal="center" vertical="center"/>
    </xf>
    <xf numFmtId="0" fontId="5" fillId="15" borderId="26" xfId="0" applyFont="1" applyFill="1" applyBorder="1" applyAlignment="1">
      <alignment horizontal="center" vertical="center"/>
    </xf>
    <xf numFmtId="0" fontId="5" fillId="15" borderId="10" xfId="0" applyFont="1" applyFill="1" applyBorder="1" applyAlignment="1">
      <alignment horizontal="center" vertical="center"/>
    </xf>
    <xf numFmtId="0" fontId="5" fillId="15" borderId="38" xfId="0" applyFont="1" applyFill="1" applyBorder="1" applyAlignment="1">
      <alignment horizontal="center" vertical="center"/>
    </xf>
    <xf numFmtId="0" fontId="5" fillId="15" borderId="39" xfId="0" applyFont="1" applyFill="1" applyBorder="1" applyAlignment="1">
      <alignment horizontal="center" vertical="center"/>
    </xf>
    <xf numFmtId="0" fontId="5" fillId="15" borderId="21" xfId="0" applyFont="1" applyFill="1" applyBorder="1" applyAlignment="1">
      <alignment horizontal="center" vertical="center"/>
    </xf>
    <xf numFmtId="0" fontId="5" fillId="34" borderId="26" xfId="0" applyFont="1" applyFill="1" applyBorder="1" applyAlignment="1">
      <alignment horizontal="center" vertical="center"/>
    </xf>
    <xf numFmtId="0" fontId="5" fillId="34" borderId="10" xfId="0" applyFont="1" applyFill="1" applyBorder="1" applyAlignment="1">
      <alignment horizontal="center" vertical="center"/>
    </xf>
    <xf numFmtId="0" fontId="9" fillId="34" borderId="13" xfId="0" applyFont="1" applyFill="1" applyBorder="1" applyAlignment="1">
      <alignment horizontal="center" vertical="center"/>
    </xf>
    <xf numFmtId="0" fontId="9" fillId="34" borderId="16" xfId="0" applyFont="1" applyFill="1" applyBorder="1" applyAlignment="1">
      <alignment horizontal="center" vertical="center"/>
    </xf>
    <xf numFmtId="0" fontId="5" fillId="20" borderId="18" xfId="0" applyFont="1" applyFill="1" applyBorder="1" applyAlignment="1">
      <alignment horizontal="center" vertical="center"/>
    </xf>
    <xf numFmtId="0" fontId="5" fillId="20" borderId="13" xfId="0" applyFont="1" applyFill="1" applyBorder="1" applyAlignment="1">
      <alignment horizontal="center" vertical="center"/>
    </xf>
    <xf numFmtId="0" fontId="5" fillId="20" borderId="16" xfId="0" applyFont="1" applyFill="1" applyBorder="1" applyAlignment="1">
      <alignment horizontal="center" vertical="center"/>
    </xf>
    <xf numFmtId="0" fontId="5" fillId="20" borderId="12" xfId="0" applyFont="1" applyFill="1" applyBorder="1" applyAlignment="1">
      <alignment horizontal="center" vertical="center"/>
    </xf>
    <xf numFmtId="0" fontId="19" fillId="32" borderId="38" xfId="0" applyFont="1" applyFill="1" applyBorder="1" applyAlignment="1">
      <alignment horizontal="center" vertical="center"/>
    </xf>
    <xf numFmtId="0" fontId="19" fillId="32" borderId="39" xfId="0" applyFont="1" applyFill="1" applyBorder="1" applyAlignment="1">
      <alignment horizontal="center" vertical="center"/>
    </xf>
    <xf numFmtId="0" fontId="19" fillId="32" borderId="21" xfId="0" applyFont="1" applyFill="1" applyBorder="1" applyAlignment="1">
      <alignment horizontal="center" vertical="center"/>
    </xf>
    <xf numFmtId="0" fontId="9" fillId="48" borderId="12" xfId="0" applyFont="1" applyFill="1" applyBorder="1" applyAlignment="1">
      <alignment horizontal="center" vertical="center"/>
    </xf>
    <xf numFmtId="0" fontId="5" fillId="48" borderId="12" xfId="0" applyFont="1" applyFill="1" applyBorder="1" applyAlignment="1">
      <alignment horizontal="center" vertical="center"/>
    </xf>
    <xf numFmtId="0" fontId="9" fillId="19" borderId="131" xfId="0" applyFont="1" applyFill="1" applyBorder="1" applyAlignment="1">
      <alignment horizontal="center" vertical="center"/>
    </xf>
    <xf numFmtId="0" fontId="5" fillId="30" borderId="12" xfId="0" applyFont="1" applyFill="1" applyBorder="1" applyAlignment="1">
      <alignment horizontal="center" vertical="center"/>
    </xf>
    <xf numFmtId="0" fontId="5" fillId="15" borderId="13" xfId="0" applyFont="1" applyFill="1" applyBorder="1" applyAlignment="1">
      <alignment horizontal="center" vertical="center"/>
    </xf>
    <xf numFmtId="0" fontId="9" fillId="48" borderId="40" xfId="0" applyFont="1" applyFill="1" applyBorder="1" applyAlignment="1">
      <alignment horizontal="center" vertical="center"/>
    </xf>
    <xf numFmtId="0" fontId="5" fillId="19" borderId="6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15" borderId="12" xfId="0" applyFont="1" applyFill="1" applyBorder="1" applyAlignment="1">
      <alignment horizontal="center" vertical="center"/>
    </xf>
    <xf numFmtId="0" fontId="5" fillId="15" borderId="16" xfId="0" applyFont="1" applyFill="1" applyBorder="1" applyAlignment="1">
      <alignment horizontal="center" vertical="center"/>
    </xf>
    <xf numFmtId="0" fontId="5" fillId="34" borderId="25" xfId="0" applyFont="1" applyFill="1" applyBorder="1" applyAlignment="1">
      <alignment horizontal="center" vertical="center"/>
    </xf>
    <xf numFmtId="0" fontId="9" fillId="34" borderId="12" xfId="0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9" fillId="19" borderId="14" xfId="0" applyFont="1" applyFill="1" applyBorder="1" applyAlignment="1">
      <alignment horizontal="center" vertical="center"/>
    </xf>
    <xf numFmtId="0" fontId="5" fillId="46" borderId="16" xfId="0" applyFont="1" applyFill="1" applyBorder="1" applyAlignment="1">
      <alignment horizontal="center" vertical="center"/>
    </xf>
    <xf numFmtId="0" fontId="4" fillId="14" borderId="9" xfId="0" applyFont="1" applyFill="1" applyBorder="1" applyAlignment="1">
      <alignment horizontal="center" vertical="center"/>
    </xf>
    <xf numFmtId="0" fontId="19" fillId="22" borderId="131" xfId="0" applyFont="1" applyFill="1" applyBorder="1" applyAlignment="1">
      <alignment horizontal="center" vertical="center"/>
    </xf>
    <xf numFmtId="0" fontId="19" fillId="22" borderId="132" xfId="0" applyFont="1" applyFill="1" applyBorder="1" applyAlignment="1">
      <alignment horizontal="center" vertical="center"/>
    </xf>
    <xf numFmtId="0" fontId="19" fillId="22" borderId="157" xfId="0" applyFont="1" applyFill="1" applyBorder="1" applyAlignment="1">
      <alignment horizontal="center" vertical="center"/>
    </xf>
    <xf numFmtId="0" fontId="4" fillId="22" borderId="131" xfId="0" applyFont="1" applyFill="1" applyBorder="1" applyAlignment="1">
      <alignment horizontal="center" vertical="center"/>
    </xf>
    <xf numFmtId="0" fontId="4" fillId="22" borderId="132" xfId="0" applyFont="1" applyFill="1" applyBorder="1" applyAlignment="1">
      <alignment horizontal="center" vertical="center"/>
    </xf>
    <xf numFmtId="0" fontId="4" fillId="22" borderId="133" xfId="0" applyFont="1" applyFill="1" applyBorder="1" applyAlignment="1">
      <alignment horizontal="center" vertical="center"/>
    </xf>
    <xf numFmtId="0" fontId="19" fillId="49" borderId="180" xfId="0" applyFont="1" applyFill="1" applyBorder="1" applyAlignment="1">
      <alignment horizontal="center" vertical="center"/>
    </xf>
    <xf numFmtId="0" fontId="19" fillId="49" borderId="181" xfId="0" applyFont="1" applyFill="1" applyBorder="1" applyAlignment="1">
      <alignment horizontal="center" vertical="center"/>
    </xf>
    <xf numFmtId="0" fontId="19" fillId="49" borderId="184" xfId="0" applyFont="1" applyFill="1" applyBorder="1" applyAlignment="1">
      <alignment horizontal="center" vertical="center"/>
    </xf>
    <xf numFmtId="0" fontId="4" fillId="49" borderId="180" xfId="0" applyFont="1" applyFill="1" applyBorder="1" applyAlignment="1">
      <alignment horizontal="center" vertical="center"/>
    </xf>
    <xf numFmtId="0" fontId="4" fillId="49" borderId="181" xfId="0" applyFont="1" applyFill="1" applyBorder="1" applyAlignment="1">
      <alignment horizontal="center" vertical="center"/>
    </xf>
    <xf numFmtId="0" fontId="4" fillId="49" borderId="184" xfId="0" applyFont="1" applyFill="1" applyBorder="1" applyAlignment="1">
      <alignment horizontal="center" vertical="center"/>
    </xf>
    <xf numFmtId="0" fontId="19" fillId="9" borderId="8" xfId="0" applyFont="1" applyFill="1" applyBorder="1" applyAlignment="1">
      <alignment horizontal="center" vertical="center"/>
    </xf>
    <xf numFmtId="0" fontId="19" fillId="19" borderId="8" xfId="0" applyFont="1" applyFill="1" applyBorder="1" applyAlignment="1">
      <alignment horizontal="center" vertical="center"/>
    </xf>
    <xf numFmtId="0" fontId="19" fillId="19" borderId="5" xfId="0" applyFont="1" applyFill="1" applyBorder="1" applyAlignment="1">
      <alignment horizontal="center" vertical="center"/>
    </xf>
    <xf numFmtId="0" fontId="19" fillId="19" borderId="6" xfId="0" applyFont="1" applyFill="1" applyBorder="1" applyAlignment="1">
      <alignment horizontal="center" vertical="center"/>
    </xf>
    <xf numFmtId="0" fontId="19" fillId="19" borderId="40" xfId="0" applyFont="1" applyFill="1" applyBorder="1" applyAlignment="1">
      <alignment horizontal="center" vertical="center"/>
    </xf>
    <xf numFmtId="0" fontId="19" fillId="19" borderId="7" xfId="0" applyFont="1" applyFill="1" applyBorder="1" applyAlignment="1">
      <alignment horizontal="center" vertical="center"/>
    </xf>
    <xf numFmtId="0" fontId="19" fillId="30" borderId="13" xfId="0" applyFont="1" applyFill="1" applyBorder="1" applyAlignment="1">
      <alignment horizontal="center" vertical="center"/>
    </xf>
    <xf numFmtId="0" fontId="19" fillId="30" borderId="16" xfId="0" applyFont="1" applyFill="1" applyBorder="1" applyAlignment="1">
      <alignment horizontal="center" vertical="center"/>
    </xf>
    <xf numFmtId="0" fontId="5" fillId="30" borderId="5" xfId="0" applyFont="1" applyFill="1" applyBorder="1" applyAlignment="1">
      <alignment horizontal="center" vertical="center"/>
    </xf>
    <xf numFmtId="0" fontId="5" fillId="30" borderId="6" xfId="0" applyFont="1" applyFill="1" applyBorder="1" applyAlignment="1">
      <alignment horizontal="center" vertical="center"/>
    </xf>
    <xf numFmtId="0" fontId="19" fillId="45" borderId="25" xfId="0" applyFont="1" applyFill="1" applyBorder="1" applyAlignment="1">
      <alignment horizontal="center" vertical="center"/>
    </xf>
    <xf numFmtId="0" fontId="19" fillId="45" borderId="26" xfId="0" applyFont="1" applyFill="1" applyBorder="1" applyAlignment="1">
      <alignment horizontal="center" vertical="center"/>
    </xf>
    <xf numFmtId="0" fontId="19" fillId="45" borderId="10" xfId="0" applyFont="1" applyFill="1" applyBorder="1" applyAlignment="1">
      <alignment horizontal="center" vertical="center"/>
    </xf>
    <xf numFmtId="0" fontId="19" fillId="19" borderId="23" xfId="0" applyFont="1" applyFill="1" applyBorder="1" applyAlignment="1">
      <alignment horizontal="center" vertical="center"/>
    </xf>
    <xf numFmtId="0" fontId="5" fillId="25" borderId="1" xfId="0" applyFont="1" applyFill="1" applyBorder="1" applyAlignment="1">
      <alignment horizontal="center" vertical="center" wrapText="1"/>
    </xf>
    <xf numFmtId="0" fontId="19" fillId="30" borderId="38" xfId="0" applyFont="1" applyFill="1" applyBorder="1" applyAlignment="1">
      <alignment horizontal="center" vertical="center"/>
    </xf>
    <xf numFmtId="0" fontId="19" fillId="30" borderId="39" xfId="0" applyFont="1" applyFill="1" applyBorder="1" applyAlignment="1">
      <alignment horizontal="center" vertical="center"/>
    </xf>
    <xf numFmtId="0" fontId="19" fillId="30" borderId="21" xfId="0" applyFont="1" applyFill="1" applyBorder="1" applyAlignment="1">
      <alignment horizontal="center" vertical="center"/>
    </xf>
    <xf numFmtId="0" fontId="5" fillId="19" borderId="8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vertical="center"/>
    </xf>
    <xf numFmtId="0" fontId="5" fillId="2" borderId="224" xfId="0" applyFont="1" applyFill="1" applyBorder="1" applyAlignment="1">
      <alignment horizontal="center" vertical="center"/>
    </xf>
    <xf numFmtId="0" fontId="5" fillId="2" borderId="225" xfId="0" applyFont="1" applyFill="1" applyBorder="1" applyAlignment="1">
      <alignment vertical="center"/>
    </xf>
    <xf numFmtId="0" fontId="19" fillId="30" borderId="18" xfId="0" applyFont="1" applyFill="1" applyBorder="1" applyAlignment="1">
      <alignment horizontal="center" vertical="center"/>
    </xf>
    <xf numFmtId="0" fontId="5" fillId="30" borderId="8" xfId="0" applyFont="1" applyFill="1" applyBorder="1" applyAlignment="1">
      <alignment horizontal="center" vertical="center"/>
    </xf>
    <xf numFmtId="0" fontId="0" fillId="14" borderId="25" xfId="0" applyFill="1" applyBorder="1"/>
    <xf numFmtId="0" fontId="0" fillId="14" borderId="26" xfId="0" applyFill="1" applyBorder="1"/>
    <xf numFmtId="0" fontId="0" fillId="14" borderId="27" xfId="0" applyFill="1" applyBorder="1"/>
    <xf numFmtId="0" fontId="19" fillId="22" borderId="179" xfId="0" applyFont="1" applyFill="1" applyBorder="1" applyAlignment="1">
      <alignment horizontal="center" vertical="center"/>
    </xf>
    <xf numFmtId="0" fontId="5" fillId="9" borderId="128" xfId="0" applyFont="1" applyFill="1" applyBorder="1" applyAlignment="1">
      <alignment horizontal="center" vertical="center"/>
    </xf>
    <xf numFmtId="0" fontId="3" fillId="16" borderId="80" xfId="0" applyFont="1" applyFill="1" applyBorder="1"/>
    <xf numFmtId="0" fontId="5" fillId="16" borderId="33" xfId="0" applyFont="1" applyFill="1" applyBorder="1" applyAlignment="1">
      <alignment vertical="center"/>
    </xf>
    <xf numFmtId="0" fontId="5" fillId="16" borderId="128" xfId="0" applyFont="1" applyFill="1" applyBorder="1" applyAlignment="1">
      <alignment vertical="center"/>
    </xf>
    <xf numFmtId="0" fontId="5" fillId="34" borderId="31" xfId="0" applyFont="1" applyFill="1" applyBorder="1" applyAlignment="1">
      <alignment vertical="center"/>
    </xf>
    <xf numFmtId="0" fontId="19" fillId="23" borderId="25" xfId="0" applyFont="1" applyFill="1" applyBorder="1" applyAlignment="1">
      <alignment horizontal="center" vertical="center"/>
    </xf>
    <xf numFmtId="0" fontId="19" fillId="23" borderId="26" xfId="0" applyFont="1" applyFill="1" applyBorder="1" applyAlignment="1">
      <alignment horizontal="center" vertical="center"/>
    </xf>
    <xf numFmtId="0" fontId="19" fillId="23" borderId="10" xfId="0" applyFont="1" applyFill="1" applyBorder="1" applyAlignment="1">
      <alignment horizontal="center" vertical="center"/>
    </xf>
    <xf numFmtId="0" fontId="19" fillId="23" borderId="144" xfId="0" applyFont="1" applyFill="1" applyBorder="1" applyAlignment="1">
      <alignment horizontal="center" vertical="center"/>
    </xf>
    <xf numFmtId="0" fontId="19" fillId="23" borderId="145" xfId="0" applyFont="1" applyFill="1" applyBorder="1" applyAlignment="1">
      <alignment horizontal="center" vertical="center"/>
    </xf>
    <xf numFmtId="0" fontId="19" fillId="23" borderId="146" xfId="0" applyFont="1" applyFill="1" applyBorder="1" applyAlignment="1">
      <alignment horizontal="center" vertical="center"/>
    </xf>
    <xf numFmtId="0" fontId="19" fillId="30" borderId="8" xfId="0" applyFont="1" applyFill="1" applyBorder="1" applyAlignment="1">
      <alignment horizontal="center" vertical="center"/>
    </xf>
    <xf numFmtId="0" fontId="19" fillId="30" borderId="5" xfId="0" applyFont="1" applyFill="1" applyBorder="1" applyAlignment="1">
      <alignment horizontal="center" vertical="center"/>
    </xf>
    <xf numFmtId="0" fontId="19" fillId="30" borderId="7" xfId="0" applyFont="1" applyFill="1" applyBorder="1" applyAlignment="1">
      <alignment horizontal="center" vertical="center"/>
    </xf>
    <xf numFmtId="0" fontId="5" fillId="18" borderId="25" xfId="0" applyFont="1" applyFill="1" applyBorder="1" applyAlignment="1">
      <alignment vertical="center"/>
    </xf>
    <xf numFmtId="0" fontId="4" fillId="9" borderId="148" xfId="0" applyFont="1" applyFill="1" applyBorder="1" applyAlignment="1">
      <alignment horizontal="center" vertical="center"/>
    </xf>
    <xf numFmtId="0" fontId="5" fillId="18" borderId="131" xfId="0" applyFont="1" applyFill="1" applyBorder="1" applyAlignment="1">
      <alignment vertical="center"/>
    </xf>
    <xf numFmtId="0" fontId="19" fillId="0" borderId="132" xfId="0" applyFont="1" applyBorder="1" applyAlignment="1">
      <alignment horizontal="center" vertical="center"/>
    </xf>
    <xf numFmtId="0" fontId="19" fillId="13" borderId="26" xfId="0" applyFont="1" applyFill="1" applyBorder="1" applyAlignment="1">
      <alignment horizontal="center" vertical="center"/>
    </xf>
    <xf numFmtId="0" fontId="4" fillId="0" borderId="180" xfId="0" applyFont="1" applyBorder="1" applyAlignment="1">
      <alignment horizontal="center" vertical="center"/>
    </xf>
    <xf numFmtId="0" fontId="4" fillId="0" borderId="181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5" fillId="0" borderId="131" xfId="0" applyFont="1" applyBorder="1" applyAlignment="1">
      <alignment horizontal="center" vertical="center"/>
    </xf>
    <xf numFmtId="0" fontId="5" fillId="0" borderId="132" xfId="0" applyFont="1" applyBorder="1" applyAlignment="1">
      <alignment horizontal="center" vertical="center"/>
    </xf>
    <xf numFmtId="0" fontId="5" fillId="0" borderId="157" xfId="0" applyFont="1" applyBorder="1" applyAlignment="1">
      <alignment horizontal="center" vertical="center"/>
    </xf>
    <xf numFmtId="0" fontId="19" fillId="0" borderId="131" xfId="0" applyFont="1" applyBorder="1" applyAlignment="1">
      <alignment horizontal="center" vertical="center"/>
    </xf>
    <xf numFmtId="0" fontId="19" fillId="0" borderId="157" xfId="0" applyFont="1" applyBorder="1" applyAlignment="1">
      <alignment horizontal="center" vertical="center"/>
    </xf>
    <xf numFmtId="0" fontId="9" fillId="0" borderId="132" xfId="0" applyFont="1" applyBorder="1" applyAlignment="1">
      <alignment horizontal="center" vertical="center"/>
    </xf>
    <xf numFmtId="0" fontId="9" fillId="0" borderId="157" xfId="0" applyFont="1" applyBorder="1" applyAlignment="1">
      <alignment horizontal="center" vertical="center"/>
    </xf>
    <xf numFmtId="0" fontId="4" fillId="0" borderId="131" xfId="0" applyFont="1" applyBorder="1" applyAlignment="1">
      <alignment horizontal="center" vertical="center"/>
    </xf>
    <xf numFmtId="0" fontId="4" fillId="0" borderId="132" xfId="0" applyFont="1" applyBorder="1" applyAlignment="1">
      <alignment horizontal="center" vertical="center"/>
    </xf>
    <xf numFmtId="0" fontId="4" fillId="0" borderId="133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0" borderId="13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57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133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7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9" fillId="0" borderId="180" xfId="0" applyFont="1" applyBorder="1" applyAlignment="1">
      <alignment horizontal="center" vertical="center"/>
    </xf>
    <xf numFmtId="0" fontId="19" fillId="0" borderId="181" xfId="0" applyFont="1" applyBorder="1" applyAlignment="1">
      <alignment horizontal="center" vertical="center"/>
    </xf>
    <xf numFmtId="0" fontId="19" fillId="0" borderId="184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33" fillId="0" borderId="13" xfId="0" applyFont="1" applyBorder="1" applyAlignment="1">
      <alignment horizontal="center" vertical="center"/>
    </xf>
    <xf numFmtId="0" fontId="5" fillId="9" borderId="20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vertical="center"/>
    </xf>
    <xf numFmtId="0" fontId="5" fillId="2" borderId="14" xfId="0" applyFont="1" applyFill="1" applyBorder="1" applyAlignment="1">
      <alignment vertical="center"/>
    </xf>
    <xf numFmtId="0" fontId="5" fillId="2" borderId="132" xfId="0" applyFont="1" applyFill="1" applyBorder="1" applyAlignment="1">
      <alignment horizontal="center" vertical="center"/>
    </xf>
    <xf numFmtId="0" fontId="5" fillId="2" borderId="133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vertical="center"/>
    </xf>
    <xf numFmtId="0" fontId="20" fillId="16" borderId="3" xfId="0" applyFont="1" applyFill="1" applyBorder="1" applyAlignment="1">
      <alignment vertical="center"/>
    </xf>
    <xf numFmtId="0" fontId="20" fillId="16" borderId="24" xfId="0" applyFont="1" applyFill="1" applyBorder="1" applyAlignment="1">
      <alignment vertical="center"/>
    </xf>
    <xf numFmtId="0" fontId="5" fillId="0" borderId="180" xfId="0" applyFont="1" applyBorder="1" applyAlignment="1">
      <alignment horizontal="center" vertical="center"/>
    </xf>
    <xf numFmtId="0" fontId="5" fillId="0" borderId="181" xfId="0" applyFont="1" applyBorder="1" applyAlignment="1">
      <alignment horizontal="center" vertical="center"/>
    </xf>
    <xf numFmtId="0" fontId="5" fillId="0" borderId="184" xfId="0" applyFont="1" applyBorder="1" applyAlignment="1">
      <alignment horizontal="center" vertical="center"/>
    </xf>
    <xf numFmtId="0" fontId="5" fillId="48" borderId="181" xfId="0" applyFont="1" applyFill="1" applyBorder="1" applyAlignment="1">
      <alignment horizontal="center" vertical="center"/>
    </xf>
    <xf numFmtId="0" fontId="9" fillId="0" borderId="180" xfId="0" applyFont="1" applyBorder="1" applyAlignment="1">
      <alignment horizontal="center" vertical="center"/>
    </xf>
    <xf numFmtId="0" fontId="9" fillId="0" borderId="181" xfId="0" applyFont="1" applyBorder="1" applyAlignment="1">
      <alignment horizontal="center" vertical="center"/>
    </xf>
    <xf numFmtId="0" fontId="9" fillId="0" borderId="184" xfId="0" applyFont="1" applyBorder="1" applyAlignment="1">
      <alignment horizontal="center" vertical="center"/>
    </xf>
    <xf numFmtId="0" fontId="4" fillId="0" borderId="182" xfId="0" applyFont="1" applyBorder="1" applyAlignment="1">
      <alignment horizontal="center" vertical="center"/>
    </xf>
    <xf numFmtId="0" fontId="4" fillId="0" borderId="99" xfId="0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9" fillId="48" borderId="26" xfId="0" applyFont="1" applyFill="1" applyBorder="1" applyAlignment="1">
      <alignment horizontal="center" vertical="center"/>
    </xf>
    <xf numFmtId="0" fontId="5" fillId="21" borderId="39" xfId="0" applyFont="1" applyFill="1" applyBorder="1" applyAlignment="1">
      <alignment horizontal="center" vertical="center"/>
    </xf>
    <xf numFmtId="0" fontId="5" fillId="50" borderId="39" xfId="0" applyFont="1" applyFill="1" applyBorder="1" applyAlignment="1">
      <alignment horizontal="center" vertical="center"/>
    </xf>
    <xf numFmtId="0" fontId="9" fillId="48" borderId="39" xfId="0" applyFont="1" applyFill="1" applyBorder="1" applyAlignment="1">
      <alignment horizontal="center" vertical="center"/>
    </xf>
    <xf numFmtId="0" fontId="5" fillId="21" borderId="38" xfId="0" applyFont="1" applyFill="1" applyBorder="1" applyAlignment="1">
      <alignment horizontal="center" vertical="center"/>
    </xf>
    <xf numFmtId="0" fontId="19" fillId="14" borderId="223" xfId="0" applyFont="1" applyFill="1" applyBorder="1" applyAlignment="1">
      <alignment horizontal="center" vertical="center"/>
    </xf>
    <xf numFmtId="0" fontId="19" fillId="14" borderId="206" xfId="0" applyFont="1" applyFill="1" applyBorder="1" applyAlignment="1">
      <alignment horizontal="center" vertical="center"/>
    </xf>
    <xf numFmtId="0" fontId="19" fillId="14" borderId="207" xfId="0" applyFont="1" applyFill="1" applyBorder="1" applyAlignment="1">
      <alignment horizontal="center" vertical="center"/>
    </xf>
    <xf numFmtId="0" fontId="5" fillId="21" borderId="21" xfId="0" applyFont="1" applyFill="1" applyBorder="1" applyAlignment="1">
      <alignment horizontal="center" vertical="center"/>
    </xf>
    <xf numFmtId="0" fontId="5" fillId="48" borderId="180" xfId="0" applyFont="1" applyFill="1" applyBorder="1" applyAlignment="1">
      <alignment horizontal="center" vertical="center"/>
    </xf>
    <xf numFmtId="0" fontId="5" fillId="50" borderId="38" xfId="0" applyFont="1" applyFill="1" applyBorder="1" applyAlignment="1">
      <alignment horizontal="center" vertical="center"/>
    </xf>
    <xf numFmtId="0" fontId="9" fillId="14" borderId="180" xfId="0" applyFont="1" applyFill="1" applyBorder="1" applyAlignment="1">
      <alignment horizontal="center" vertical="center"/>
    </xf>
    <xf numFmtId="0" fontId="9" fillId="48" borderId="25" xfId="0" applyFont="1" applyFill="1" applyBorder="1" applyAlignment="1">
      <alignment horizontal="center" vertical="center"/>
    </xf>
    <xf numFmtId="0" fontId="9" fillId="48" borderId="38" xfId="0" applyFont="1" applyFill="1" applyBorder="1" applyAlignment="1">
      <alignment horizontal="center" vertical="center"/>
    </xf>
    <xf numFmtId="0" fontId="5" fillId="48" borderId="184" xfId="0" applyFont="1" applyFill="1" applyBorder="1" applyAlignment="1">
      <alignment horizontal="center" vertical="center"/>
    </xf>
    <xf numFmtId="0" fontId="5" fillId="50" borderId="21" xfId="0" applyFont="1" applyFill="1" applyBorder="1" applyAlignment="1">
      <alignment horizontal="center" vertical="center"/>
    </xf>
    <xf numFmtId="0" fontId="9" fillId="48" borderId="10" xfId="0" applyFont="1" applyFill="1" applyBorder="1" applyAlignment="1">
      <alignment horizontal="center" vertical="center"/>
    </xf>
    <xf numFmtId="0" fontId="9" fillId="48" borderId="21" xfId="0" applyFont="1" applyFill="1" applyBorder="1" applyAlignment="1">
      <alignment horizontal="center" vertical="center"/>
    </xf>
    <xf numFmtId="0" fontId="5" fillId="46" borderId="180" xfId="0" applyFont="1" applyFill="1" applyBorder="1" applyAlignment="1">
      <alignment horizontal="center" vertical="center"/>
    </xf>
    <xf numFmtId="0" fontId="5" fillId="46" borderId="181" xfId="0" applyFont="1" applyFill="1" applyBorder="1" applyAlignment="1">
      <alignment horizontal="center" vertical="center"/>
    </xf>
    <xf numFmtId="0" fontId="5" fillId="46" borderId="184" xfId="0" applyFont="1" applyFill="1" applyBorder="1" applyAlignment="1">
      <alignment horizontal="center" vertical="center"/>
    </xf>
    <xf numFmtId="0" fontId="9" fillId="48" borderId="180" xfId="0" applyFont="1" applyFill="1" applyBorder="1" applyAlignment="1">
      <alignment horizontal="center" vertical="center"/>
    </xf>
    <xf numFmtId="0" fontId="9" fillId="48" borderId="181" xfId="0" applyFont="1" applyFill="1" applyBorder="1" applyAlignment="1">
      <alignment horizontal="center" vertical="center"/>
    </xf>
    <xf numFmtId="0" fontId="9" fillId="48" borderId="184" xfId="0" applyFont="1" applyFill="1" applyBorder="1" applyAlignment="1">
      <alignment horizontal="center" vertical="center"/>
    </xf>
    <xf numFmtId="0" fontId="5" fillId="50" borderId="180" xfId="0" applyFont="1" applyFill="1" applyBorder="1" applyAlignment="1">
      <alignment horizontal="center" vertical="center"/>
    </xf>
    <xf numFmtId="0" fontId="5" fillId="50" borderId="181" xfId="0" applyFont="1" applyFill="1" applyBorder="1" applyAlignment="1">
      <alignment horizontal="center" vertical="center"/>
    </xf>
    <xf numFmtId="0" fontId="5" fillId="50" borderId="184" xfId="0" applyFont="1" applyFill="1" applyBorder="1" applyAlignment="1">
      <alignment horizontal="center" vertical="center"/>
    </xf>
    <xf numFmtId="0" fontId="9" fillId="9" borderId="99" xfId="0" applyFont="1" applyFill="1" applyBorder="1" applyAlignment="1">
      <alignment horizontal="center" vertical="center"/>
    </xf>
    <xf numFmtId="0" fontId="9" fillId="9" borderId="75" xfId="0" applyFont="1" applyFill="1" applyBorder="1" applyAlignment="1">
      <alignment horizontal="center" vertical="center"/>
    </xf>
    <xf numFmtId="0" fontId="9" fillId="9" borderId="100" xfId="0" applyFont="1" applyFill="1" applyBorder="1" applyAlignment="1">
      <alignment horizontal="center" vertical="center"/>
    </xf>
    <xf numFmtId="0" fontId="5" fillId="9" borderId="75" xfId="0" applyFont="1" applyFill="1" applyBorder="1" applyAlignment="1">
      <alignment horizontal="center" vertical="center"/>
    </xf>
    <xf numFmtId="0" fontId="5" fillId="9" borderId="100" xfId="0" applyFont="1" applyFill="1" applyBorder="1" applyAlignment="1">
      <alignment horizontal="center" vertical="center"/>
    </xf>
    <xf numFmtId="0" fontId="5" fillId="22" borderId="25" xfId="0" applyFont="1" applyFill="1" applyBorder="1" applyAlignment="1">
      <alignment horizontal="center" vertical="center"/>
    </xf>
    <xf numFmtId="0" fontId="5" fillId="22" borderId="26" xfId="0" applyFont="1" applyFill="1" applyBorder="1" applyAlignment="1">
      <alignment horizontal="center" vertical="center"/>
    </xf>
    <xf numFmtId="0" fontId="5" fillId="22" borderId="10" xfId="0" applyFont="1" applyFill="1" applyBorder="1" applyAlignment="1">
      <alignment horizontal="center" vertical="center"/>
    </xf>
    <xf numFmtId="0" fontId="5" fillId="22" borderId="12" xfId="0" applyFont="1" applyFill="1" applyBorder="1" applyAlignment="1">
      <alignment horizontal="center" vertical="center"/>
    </xf>
    <xf numFmtId="0" fontId="5" fillId="22" borderId="13" xfId="0" applyFont="1" applyFill="1" applyBorder="1" applyAlignment="1">
      <alignment horizontal="center" vertical="center"/>
    </xf>
    <xf numFmtId="0" fontId="5" fillId="22" borderId="16" xfId="0" applyFont="1" applyFill="1" applyBorder="1" applyAlignment="1">
      <alignment horizontal="center" vertical="center"/>
    </xf>
    <xf numFmtId="0" fontId="5" fillId="22" borderId="38" xfId="0" applyFont="1" applyFill="1" applyBorder="1" applyAlignment="1">
      <alignment horizontal="center" vertical="center"/>
    </xf>
    <xf numFmtId="0" fontId="5" fillId="22" borderId="39" xfId="0" applyFont="1" applyFill="1" applyBorder="1" applyAlignment="1">
      <alignment horizontal="center" vertical="center"/>
    </xf>
    <xf numFmtId="0" fontId="5" fillId="22" borderId="21" xfId="0" applyFont="1" applyFill="1" applyBorder="1" applyAlignment="1">
      <alignment horizontal="center" vertical="center"/>
    </xf>
    <xf numFmtId="0" fontId="9" fillId="22" borderId="131" xfId="0" applyFont="1" applyFill="1" applyBorder="1" applyAlignment="1">
      <alignment horizontal="center" vertical="center"/>
    </xf>
    <xf numFmtId="0" fontId="9" fillId="22" borderId="132" xfId="0" applyFont="1" applyFill="1" applyBorder="1" applyAlignment="1">
      <alignment horizontal="center" vertical="center"/>
    </xf>
    <xf numFmtId="0" fontId="9" fillId="22" borderId="157" xfId="0" applyFont="1" applyFill="1" applyBorder="1" applyAlignment="1">
      <alignment horizontal="center" vertical="center"/>
    </xf>
    <xf numFmtId="0" fontId="19" fillId="22" borderId="12" xfId="0" applyFont="1" applyFill="1" applyBorder="1" applyAlignment="1">
      <alignment horizontal="center" vertical="center"/>
    </xf>
    <xf numFmtId="0" fontId="19" fillId="22" borderId="13" xfId="0" applyFont="1" applyFill="1" applyBorder="1" applyAlignment="1">
      <alignment horizontal="center" vertical="center"/>
    </xf>
    <xf numFmtId="0" fontId="19" fillId="22" borderId="16" xfId="0" applyFont="1" applyFill="1" applyBorder="1" applyAlignment="1">
      <alignment horizontal="center" vertical="center"/>
    </xf>
    <xf numFmtId="0" fontId="5" fillId="22" borderId="40" xfId="0" applyFont="1" applyFill="1" applyBorder="1" applyAlignment="1">
      <alignment horizontal="center" vertical="center"/>
    </xf>
    <xf numFmtId="0" fontId="5" fillId="22" borderId="5" xfId="0" applyFont="1" applyFill="1" applyBorder="1" applyAlignment="1">
      <alignment horizontal="center" vertical="center"/>
    </xf>
    <xf numFmtId="0" fontId="5" fillId="22" borderId="6" xfId="0" applyFont="1" applyFill="1" applyBorder="1" applyAlignment="1">
      <alignment horizontal="center" vertical="center"/>
    </xf>
    <xf numFmtId="0" fontId="19" fillId="11" borderId="131" xfId="0" applyFont="1" applyFill="1" applyBorder="1" applyAlignment="1">
      <alignment horizontal="center" vertical="center"/>
    </xf>
    <xf numFmtId="0" fontId="19" fillId="11" borderId="132" xfId="0" applyFont="1" applyFill="1" applyBorder="1" applyAlignment="1">
      <alignment horizontal="center" vertical="center"/>
    </xf>
    <xf numFmtId="0" fontId="19" fillId="11" borderId="157" xfId="0" applyFont="1" applyFill="1" applyBorder="1" applyAlignment="1">
      <alignment horizontal="center" vertical="center"/>
    </xf>
    <xf numFmtId="0" fontId="5" fillId="11" borderId="12" xfId="0" applyFont="1" applyFill="1" applyBorder="1" applyAlignment="1">
      <alignment horizontal="center" vertical="center"/>
    </xf>
    <xf numFmtId="0" fontId="5" fillId="11" borderId="13" xfId="0" applyFont="1" applyFill="1" applyBorder="1" applyAlignment="1">
      <alignment horizontal="center" vertical="center"/>
    </xf>
    <xf numFmtId="0" fontId="5" fillId="11" borderId="16" xfId="0" applyFont="1" applyFill="1" applyBorder="1" applyAlignment="1">
      <alignment horizontal="center" vertical="center"/>
    </xf>
    <xf numFmtId="0" fontId="5" fillId="31" borderId="12" xfId="0" applyFont="1" applyFill="1" applyBorder="1" applyAlignment="1">
      <alignment horizontal="center" vertical="center"/>
    </xf>
    <xf numFmtId="0" fontId="5" fillId="31" borderId="13" xfId="0" applyFont="1" applyFill="1" applyBorder="1" applyAlignment="1">
      <alignment horizontal="center" vertical="center"/>
    </xf>
    <xf numFmtId="0" fontId="5" fillId="31" borderId="16" xfId="0" applyFont="1" applyFill="1" applyBorder="1" applyAlignment="1">
      <alignment horizontal="center" vertical="center"/>
    </xf>
    <xf numFmtId="0" fontId="9" fillId="31" borderId="40" xfId="0" applyFont="1" applyFill="1" applyBorder="1" applyAlignment="1">
      <alignment horizontal="center" vertical="center"/>
    </xf>
    <xf numFmtId="0" fontId="9" fillId="31" borderId="5" xfId="0" applyFont="1" applyFill="1" applyBorder="1" applyAlignment="1">
      <alignment horizontal="center" vertical="center"/>
    </xf>
    <xf numFmtId="0" fontId="9" fillId="31" borderId="6" xfId="0" applyFont="1" applyFill="1" applyBorder="1" applyAlignment="1">
      <alignment horizontal="center" vertical="center"/>
    </xf>
    <xf numFmtId="0" fontId="9" fillId="31" borderId="25" xfId="0" applyFont="1" applyFill="1" applyBorder="1" applyAlignment="1">
      <alignment horizontal="center" vertical="center"/>
    </xf>
    <xf numFmtId="0" fontId="9" fillId="31" borderId="26" xfId="0" applyFont="1" applyFill="1" applyBorder="1" applyAlignment="1">
      <alignment horizontal="center" vertical="center"/>
    </xf>
    <xf numFmtId="0" fontId="9" fillId="31" borderId="10" xfId="0" applyFont="1" applyFill="1" applyBorder="1" applyAlignment="1">
      <alignment horizontal="center" vertical="center"/>
    </xf>
    <xf numFmtId="0" fontId="5" fillId="31" borderId="38" xfId="0" applyFont="1" applyFill="1" applyBorder="1" applyAlignment="1">
      <alignment horizontal="center" vertical="center"/>
    </xf>
    <xf numFmtId="0" fontId="5" fillId="31" borderId="39" xfId="0" applyFont="1" applyFill="1" applyBorder="1" applyAlignment="1">
      <alignment horizontal="center" vertical="center"/>
    </xf>
    <xf numFmtId="0" fontId="5" fillId="31" borderId="21" xfId="0" applyFont="1" applyFill="1" applyBorder="1" applyAlignment="1">
      <alignment horizontal="center" vertical="center"/>
    </xf>
    <xf numFmtId="0" fontId="9" fillId="31" borderId="12" xfId="0" applyFont="1" applyFill="1" applyBorder="1" applyAlignment="1">
      <alignment horizontal="center" vertical="center"/>
    </xf>
    <xf numFmtId="0" fontId="9" fillId="31" borderId="13" xfId="0" applyFont="1" applyFill="1" applyBorder="1" applyAlignment="1">
      <alignment horizontal="center" vertical="center"/>
    </xf>
    <xf numFmtId="0" fontId="9" fillId="31" borderId="16" xfId="0" applyFont="1" applyFill="1" applyBorder="1" applyAlignment="1">
      <alignment horizontal="center" vertical="center"/>
    </xf>
    <xf numFmtId="0" fontId="5" fillId="9" borderId="226" xfId="0" applyFont="1" applyFill="1" applyBorder="1" applyAlignment="1">
      <alignment horizontal="center" vertical="center"/>
    </xf>
    <xf numFmtId="0" fontId="5" fillId="9" borderId="227" xfId="0" applyFont="1" applyFill="1" applyBorder="1" applyAlignment="1">
      <alignment horizontal="center" vertical="center"/>
    </xf>
    <xf numFmtId="0" fontId="9" fillId="9" borderId="226" xfId="0" applyFont="1" applyFill="1" applyBorder="1" applyAlignment="1">
      <alignment horizontal="center" vertical="center"/>
    </xf>
    <xf numFmtId="0" fontId="19" fillId="9" borderId="99" xfId="0" applyFont="1" applyFill="1" applyBorder="1" applyAlignment="1">
      <alignment horizontal="center" vertical="center"/>
    </xf>
    <xf numFmtId="0" fontId="19" fillId="9" borderId="75" xfId="0" applyFont="1" applyFill="1" applyBorder="1" applyAlignment="1">
      <alignment horizontal="center" vertical="center"/>
    </xf>
    <xf numFmtId="0" fontId="19" fillId="9" borderId="227" xfId="0" applyFont="1" applyFill="1" applyBorder="1" applyAlignment="1">
      <alignment horizontal="center" vertical="center"/>
    </xf>
    <xf numFmtId="0" fontId="9" fillId="14" borderId="99" xfId="0" applyFont="1" applyFill="1" applyBorder="1" applyAlignment="1">
      <alignment horizontal="center" vertical="center"/>
    </xf>
    <xf numFmtId="0" fontId="9" fillId="14" borderId="75" xfId="0" applyFont="1" applyFill="1" applyBorder="1" applyAlignment="1">
      <alignment horizontal="center" vertical="center"/>
    </xf>
    <xf numFmtId="0" fontId="9" fillId="14" borderId="100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4" fillId="38" borderId="226" xfId="0" applyFont="1" applyFill="1" applyBorder="1" applyAlignment="1">
      <alignment horizontal="center" vertical="center"/>
    </xf>
    <xf numFmtId="0" fontId="4" fillId="38" borderId="75" xfId="0" applyFont="1" applyFill="1" applyBorder="1" applyAlignment="1">
      <alignment horizontal="center" vertical="center"/>
    </xf>
    <xf numFmtId="0" fontId="4" fillId="38" borderId="227" xfId="0" applyFont="1" applyFill="1" applyBorder="1" applyAlignment="1">
      <alignment horizontal="center" vertical="center"/>
    </xf>
    <xf numFmtId="0" fontId="4" fillId="0" borderId="183" xfId="0" applyFont="1" applyBorder="1" applyAlignment="1">
      <alignment horizontal="center" vertical="center"/>
    </xf>
    <xf numFmtId="0" fontId="19" fillId="38" borderId="39" xfId="0" applyFont="1" applyFill="1" applyBorder="1" applyAlignment="1">
      <alignment horizontal="center" vertical="center"/>
    </xf>
    <xf numFmtId="0" fontId="5" fillId="38" borderId="39" xfId="0" applyFont="1" applyFill="1" applyBorder="1" applyAlignment="1">
      <alignment horizontal="center" vertical="center"/>
    </xf>
    <xf numFmtId="0" fontId="9" fillId="38" borderId="39" xfId="0" applyFont="1" applyFill="1" applyBorder="1" applyAlignment="1">
      <alignment horizontal="center" vertical="center"/>
    </xf>
    <xf numFmtId="0" fontId="19" fillId="0" borderId="179" xfId="0" applyFont="1" applyBorder="1" applyAlignment="1">
      <alignment horizontal="center" vertical="center"/>
    </xf>
    <xf numFmtId="0" fontId="19" fillId="38" borderId="38" xfId="0" applyFont="1" applyFill="1" applyBorder="1" applyAlignment="1">
      <alignment horizontal="center" vertical="center"/>
    </xf>
    <xf numFmtId="0" fontId="5" fillId="38" borderId="38" xfId="0" applyFont="1" applyFill="1" applyBorder="1" applyAlignment="1">
      <alignment horizontal="center" vertical="center"/>
    </xf>
    <xf numFmtId="0" fontId="19" fillId="38" borderId="21" xfId="0" applyFont="1" applyFill="1" applyBorder="1" applyAlignment="1">
      <alignment horizontal="center" vertical="center"/>
    </xf>
    <xf numFmtId="0" fontId="9" fillId="38" borderId="38" xfId="0" applyFont="1" applyFill="1" applyBorder="1" applyAlignment="1">
      <alignment horizontal="center" vertical="center"/>
    </xf>
    <xf numFmtId="0" fontId="9" fillId="38" borderId="22" xfId="0" applyFont="1" applyFill="1" applyBorder="1" applyAlignment="1">
      <alignment horizontal="center" vertical="center"/>
    </xf>
    <xf numFmtId="0" fontId="9" fillId="38" borderId="21" xfId="0" applyFont="1" applyFill="1" applyBorder="1" applyAlignment="1">
      <alignment horizontal="center" vertical="center"/>
    </xf>
    <xf numFmtId="0" fontId="9" fillId="34" borderId="25" xfId="0" applyFont="1" applyFill="1" applyBorder="1" applyAlignment="1">
      <alignment horizontal="center" vertical="center"/>
    </xf>
    <xf numFmtId="0" fontId="9" fillId="34" borderId="26" xfId="0" applyFont="1" applyFill="1" applyBorder="1" applyAlignment="1">
      <alignment horizontal="center" vertical="center"/>
    </xf>
    <xf numFmtId="0" fontId="9" fillId="34" borderId="27" xfId="0" applyFont="1" applyFill="1" applyBorder="1" applyAlignment="1">
      <alignment horizontal="center" vertical="center"/>
    </xf>
    <xf numFmtId="0" fontId="9" fillId="34" borderId="22" xfId="0" applyFont="1" applyFill="1" applyBorder="1" applyAlignment="1">
      <alignment horizontal="center" vertical="center"/>
    </xf>
    <xf numFmtId="0" fontId="9" fillId="34" borderId="14" xfId="0" applyFont="1" applyFill="1" applyBorder="1" applyAlignment="1">
      <alignment horizontal="center" vertical="center"/>
    </xf>
    <xf numFmtId="0" fontId="9" fillId="34" borderId="131" xfId="0" applyFont="1" applyFill="1" applyBorder="1" applyAlignment="1">
      <alignment horizontal="center" vertical="center"/>
    </xf>
    <xf numFmtId="0" fontId="9" fillId="34" borderId="132" xfId="0" applyFont="1" applyFill="1" applyBorder="1" applyAlignment="1">
      <alignment horizontal="center" vertical="center"/>
    </xf>
    <xf numFmtId="0" fontId="9" fillId="34" borderId="133" xfId="0" applyFont="1" applyFill="1" applyBorder="1" applyAlignment="1">
      <alignment horizontal="center" vertical="center"/>
    </xf>
    <xf numFmtId="0" fontId="4" fillId="40" borderId="38" xfId="0" applyFont="1" applyFill="1" applyBorder="1" applyAlignment="1">
      <alignment horizontal="center" vertical="center"/>
    </xf>
    <xf numFmtId="0" fontId="4" fillId="40" borderId="39" xfId="0" applyFont="1" applyFill="1" applyBorder="1" applyAlignment="1">
      <alignment horizontal="center" vertical="center"/>
    </xf>
    <xf numFmtId="0" fontId="4" fillId="40" borderId="21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3" xfId="0" applyFont="1" applyFill="1" applyBorder="1" applyAlignment="1">
      <alignment horizontal="center" vertical="center"/>
    </xf>
    <xf numFmtId="0" fontId="5" fillId="17" borderId="12" xfId="0" applyFont="1" applyFill="1" applyBorder="1" applyAlignment="1">
      <alignment horizontal="center" vertical="center"/>
    </xf>
    <xf numFmtId="0" fontId="5" fillId="17" borderId="13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9" fillId="17" borderId="12" xfId="0" applyFont="1" applyFill="1" applyBorder="1" applyAlignment="1">
      <alignment horizontal="center" vertical="center"/>
    </xf>
    <xf numFmtId="0" fontId="9" fillId="17" borderId="13" xfId="0" applyFont="1" applyFill="1" applyBorder="1" applyAlignment="1">
      <alignment horizontal="center" vertical="center"/>
    </xf>
    <xf numFmtId="0" fontId="9" fillId="17" borderId="16" xfId="0" applyFont="1" applyFill="1" applyBorder="1" applyAlignment="1">
      <alignment horizontal="center" vertical="center"/>
    </xf>
    <xf numFmtId="0" fontId="19" fillId="17" borderId="38" xfId="0" applyFont="1" applyFill="1" applyBorder="1" applyAlignment="1">
      <alignment horizontal="center" vertical="center"/>
    </xf>
    <xf numFmtId="0" fontId="19" fillId="17" borderId="39" xfId="0" applyFont="1" applyFill="1" applyBorder="1" applyAlignment="1">
      <alignment horizontal="center" vertical="center"/>
    </xf>
    <xf numFmtId="0" fontId="19" fillId="17" borderId="21" xfId="0" applyFont="1" applyFill="1" applyBorder="1" applyAlignment="1">
      <alignment horizontal="center" vertical="center"/>
    </xf>
    <xf numFmtId="0" fontId="5" fillId="17" borderId="25" xfId="0" applyFont="1" applyFill="1" applyBorder="1" applyAlignment="1">
      <alignment horizontal="center" vertical="center"/>
    </xf>
    <xf numFmtId="0" fontId="5" fillId="17" borderId="26" xfId="0" applyFont="1" applyFill="1" applyBorder="1" applyAlignment="1">
      <alignment horizontal="center" vertical="center"/>
    </xf>
    <xf numFmtId="0" fontId="4" fillId="0" borderId="184" xfId="0" applyFont="1" applyBorder="1" applyAlignment="1">
      <alignment horizontal="center" vertical="center"/>
    </xf>
    <xf numFmtId="0" fontId="4" fillId="0" borderId="100" xfId="0" applyFont="1" applyBorder="1" applyAlignment="1">
      <alignment horizontal="center" vertical="center"/>
    </xf>
    <xf numFmtId="0" fontId="5" fillId="16" borderId="2" xfId="0" applyFont="1" applyFill="1" applyBorder="1" applyAlignment="1">
      <alignment vertical="center"/>
    </xf>
    <xf numFmtId="0" fontId="5" fillId="19" borderId="30" xfId="0" applyFont="1" applyFill="1" applyBorder="1" applyAlignment="1">
      <alignment vertical="center"/>
    </xf>
    <xf numFmtId="0" fontId="5" fillId="19" borderId="2" xfId="0" applyFont="1" applyFill="1" applyBorder="1" applyAlignment="1">
      <alignment vertical="center"/>
    </xf>
    <xf numFmtId="0" fontId="5" fillId="18" borderId="32" xfId="0" applyFont="1" applyFill="1" applyBorder="1" applyAlignment="1">
      <alignment vertical="center"/>
    </xf>
    <xf numFmtId="0" fontId="5" fillId="18" borderId="30" xfId="0" applyFont="1" applyFill="1" applyBorder="1" applyAlignment="1">
      <alignment vertical="center"/>
    </xf>
    <xf numFmtId="0" fontId="5" fillId="15" borderId="30" xfId="0" applyFont="1" applyFill="1" applyBorder="1" applyAlignment="1">
      <alignment vertical="center"/>
    </xf>
    <xf numFmtId="0" fontId="5" fillId="2" borderId="228" xfId="0" applyFont="1" applyFill="1" applyBorder="1" applyAlignment="1">
      <alignment horizontal="center" vertical="center"/>
    </xf>
    <xf numFmtId="0" fontId="5" fillId="2" borderId="130" xfId="0" applyFont="1" applyFill="1" applyBorder="1" applyAlignment="1">
      <alignment vertical="center"/>
    </xf>
    <xf numFmtId="0" fontId="5" fillId="46" borderId="38" xfId="0" applyFont="1" applyFill="1" applyBorder="1" applyAlignment="1">
      <alignment horizontal="center" vertical="center"/>
    </xf>
    <xf numFmtId="0" fontId="5" fillId="46" borderId="39" xfId="0" applyFont="1" applyFill="1" applyBorder="1" applyAlignment="1">
      <alignment horizontal="center" vertical="center"/>
    </xf>
    <xf numFmtId="0" fontId="5" fillId="46" borderId="21" xfId="0" applyFont="1" applyFill="1" applyBorder="1" applyAlignment="1">
      <alignment horizontal="center" vertical="center"/>
    </xf>
    <xf numFmtId="0" fontId="4" fillId="46" borderId="38" xfId="0" applyFont="1" applyFill="1" applyBorder="1" applyAlignment="1">
      <alignment horizontal="center" vertical="center"/>
    </xf>
    <xf numFmtId="0" fontId="4" fillId="46" borderId="39" xfId="0" applyFont="1" applyFill="1" applyBorder="1" applyAlignment="1">
      <alignment horizontal="center" vertical="center"/>
    </xf>
    <xf numFmtId="0" fontId="4" fillId="46" borderId="21" xfId="0" applyFont="1" applyFill="1" applyBorder="1" applyAlignment="1">
      <alignment horizontal="center" vertical="center"/>
    </xf>
    <xf numFmtId="0" fontId="5" fillId="13" borderId="25" xfId="0" applyFont="1" applyFill="1" applyBorder="1" applyAlignment="1">
      <alignment horizontal="center" vertical="center"/>
    </xf>
    <xf numFmtId="0" fontId="5" fillId="13" borderId="26" xfId="0" applyFont="1" applyFill="1" applyBorder="1" applyAlignment="1">
      <alignment horizontal="center" vertical="center"/>
    </xf>
    <xf numFmtId="0" fontId="19" fillId="34" borderId="14" xfId="0" applyFont="1" applyFill="1" applyBorder="1" applyAlignment="1">
      <alignment horizontal="center" vertical="center"/>
    </xf>
    <xf numFmtId="0" fontId="19" fillId="34" borderId="131" xfId="0" applyFont="1" applyFill="1" applyBorder="1" applyAlignment="1">
      <alignment horizontal="center" vertical="center"/>
    </xf>
    <xf numFmtId="0" fontId="19" fillId="34" borderId="132" xfId="0" applyFont="1" applyFill="1" applyBorder="1" applyAlignment="1">
      <alignment horizontal="center" vertical="center"/>
    </xf>
    <xf numFmtId="0" fontId="19" fillId="34" borderId="133" xfId="0" applyFont="1" applyFill="1" applyBorder="1" applyAlignment="1">
      <alignment horizontal="center" vertical="center"/>
    </xf>
    <xf numFmtId="0" fontId="4" fillId="17" borderId="23" xfId="0" applyFont="1" applyFill="1" applyBorder="1" applyAlignment="1">
      <alignment horizontal="center" vertical="center"/>
    </xf>
    <xf numFmtId="0" fontId="4" fillId="17" borderId="21" xfId="0" applyFont="1" applyFill="1" applyBorder="1" applyAlignment="1">
      <alignment horizontal="center" vertical="center"/>
    </xf>
    <xf numFmtId="0" fontId="4" fillId="17" borderId="13" xfId="0" applyFont="1" applyFill="1" applyBorder="1" applyAlignment="1">
      <alignment horizontal="center" vertical="center"/>
    </xf>
    <xf numFmtId="0" fontId="0" fillId="14" borderId="13" xfId="0" applyFill="1" applyBorder="1"/>
    <xf numFmtId="0" fontId="0" fillId="14" borderId="12" xfId="0" applyFill="1" applyBorder="1"/>
    <xf numFmtId="0" fontId="9" fillId="39" borderId="38" xfId="0" applyFont="1" applyFill="1" applyBorder="1" applyAlignment="1">
      <alignment horizontal="center" vertical="center"/>
    </xf>
    <xf numFmtId="0" fontId="9" fillId="39" borderId="39" xfId="0" applyFont="1" applyFill="1" applyBorder="1" applyAlignment="1">
      <alignment horizontal="center" vertical="center"/>
    </xf>
    <xf numFmtId="0" fontId="9" fillId="39" borderId="21" xfId="0" applyFont="1" applyFill="1" applyBorder="1" applyAlignment="1">
      <alignment horizontal="center" vertical="center"/>
    </xf>
    <xf numFmtId="0" fontId="9" fillId="22" borderId="10" xfId="0" applyFont="1" applyFill="1" applyBorder="1" applyAlignment="1">
      <alignment horizontal="center" vertical="center"/>
    </xf>
    <xf numFmtId="0" fontId="5" fillId="13" borderId="27" xfId="0" applyFont="1" applyFill="1" applyBorder="1" applyAlignment="1">
      <alignment horizontal="center" vertical="center"/>
    </xf>
    <xf numFmtId="0" fontId="5" fillId="38" borderId="22" xfId="0" applyFont="1" applyFill="1" applyBorder="1" applyAlignment="1">
      <alignment horizontal="center" vertical="center"/>
    </xf>
    <xf numFmtId="0" fontId="5" fillId="19" borderId="27" xfId="0" applyFont="1" applyFill="1" applyBorder="1" applyAlignment="1">
      <alignment horizontal="center" vertical="center"/>
    </xf>
    <xf numFmtId="0" fontId="19" fillId="14" borderId="213" xfId="0" applyFont="1" applyFill="1" applyBorder="1" applyAlignment="1">
      <alignment horizontal="center" vertical="center"/>
    </xf>
    <xf numFmtId="0" fontId="0" fillId="14" borderId="16" xfId="0" applyFill="1" applyBorder="1"/>
    <xf numFmtId="0" fontId="9" fillId="0" borderId="9" xfId="0" applyFont="1" applyBorder="1" applyAlignment="1">
      <alignment horizontal="center" vertical="center"/>
    </xf>
    <xf numFmtId="0" fontId="9" fillId="38" borderId="23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13" borderId="18" xfId="0" applyFont="1" applyFill="1" applyBorder="1" applyAlignment="1">
      <alignment horizontal="center" vertical="center"/>
    </xf>
    <xf numFmtId="0" fontId="9" fillId="19" borderId="23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19" borderId="18" xfId="0" applyFont="1" applyFill="1" applyBorder="1" applyAlignment="1">
      <alignment horizontal="center" vertical="center"/>
    </xf>
    <xf numFmtId="0" fontId="33" fillId="9" borderId="25" xfId="0" applyFont="1" applyFill="1" applyBorder="1" applyAlignment="1">
      <alignment horizontal="center" vertical="center"/>
    </xf>
    <xf numFmtId="0" fontId="33" fillId="9" borderId="26" xfId="0" applyFont="1" applyFill="1" applyBorder="1" applyAlignment="1">
      <alignment horizontal="center" vertical="center"/>
    </xf>
    <xf numFmtId="0" fontId="33" fillId="9" borderId="10" xfId="0" applyFont="1" applyFill="1" applyBorder="1" applyAlignment="1">
      <alignment horizontal="center" vertical="center"/>
    </xf>
    <xf numFmtId="0" fontId="19" fillId="0" borderId="182" xfId="0" applyFont="1" applyBorder="1" applyAlignment="1">
      <alignment horizontal="center" vertical="center"/>
    </xf>
    <xf numFmtId="0" fontId="5" fillId="2" borderId="30" xfId="0" applyFont="1" applyFill="1" applyBorder="1" applyAlignment="1">
      <alignment vertical="center"/>
    </xf>
    <xf numFmtId="0" fontId="19" fillId="17" borderId="40" xfId="0" applyFont="1" applyFill="1" applyBorder="1" applyAlignment="1">
      <alignment horizontal="center" vertical="center"/>
    </xf>
    <xf numFmtId="0" fontId="19" fillId="17" borderId="5" xfId="0" applyFont="1" applyFill="1" applyBorder="1" applyAlignment="1">
      <alignment horizontal="center" vertical="center"/>
    </xf>
    <xf numFmtId="0" fontId="19" fillId="17" borderId="6" xfId="0" applyFont="1" applyFill="1" applyBorder="1" applyAlignment="1">
      <alignment horizontal="center" vertical="center"/>
    </xf>
    <xf numFmtId="0" fontId="4" fillId="14" borderId="8" xfId="0" applyFont="1" applyFill="1" applyBorder="1" applyAlignment="1">
      <alignment horizontal="center" vertical="center"/>
    </xf>
    <xf numFmtId="0" fontId="19" fillId="18" borderId="131" xfId="0" applyFont="1" applyFill="1" applyBorder="1" applyAlignment="1">
      <alignment horizontal="center" vertical="center"/>
    </xf>
    <xf numFmtId="0" fontId="19" fillId="18" borderId="132" xfId="0" applyFont="1" applyFill="1" applyBorder="1" applyAlignment="1">
      <alignment horizontal="center" vertical="center"/>
    </xf>
    <xf numFmtId="0" fontId="19" fillId="18" borderId="157" xfId="0" applyFont="1" applyFill="1" applyBorder="1" applyAlignment="1">
      <alignment horizontal="center" vertical="center"/>
    </xf>
    <xf numFmtId="0" fontId="9" fillId="45" borderId="12" xfId="0" applyFont="1" applyFill="1" applyBorder="1" applyAlignment="1">
      <alignment horizontal="center" vertical="center"/>
    </xf>
    <xf numFmtId="0" fontId="9" fillId="45" borderId="13" xfId="0" applyFont="1" applyFill="1" applyBorder="1" applyAlignment="1">
      <alignment horizontal="center" vertical="center"/>
    </xf>
    <xf numFmtId="0" fontId="9" fillId="45" borderId="14" xfId="0" applyFont="1" applyFill="1" applyBorder="1" applyAlignment="1">
      <alignment horizontal="center" vertical="center"/>
    </xf>
    <xf numFmtId="0" fontId="4" fillId="45" borderId="18" xfId="0" applyFont="1" applyFill="1" applyBorder="1" applyAlignment="1">
      <alignment horizontal="center" vertical="center"/>
    </xf>
    <xf numFmtId="0" fontId="4" fillId="45" borderId="13" xfId="0" applyFont="1" applyFill="1" applyBorder="1" applyAlignment="1">
      <alignment horizontal="center" vertical="center"/>
    </xf>
    <xf numFmtId="0" fontId="4" fillId="45" borderId="14" xfId="0" applyFont="1" applyFill="1" applyBorder="1" applyAlignment="1">
      <alignment horizontal="center" vertical="center"/>
    </xf>
    <xf numFmtId="0" fontId="19" fillId="48" borderId="38" xfId="0" applyFont="1" applyFill="1" applyBorder="1" applyAlignment="1">
      <alignment horizontal="center" vertical="center"/>
    </xf>
    <xf numFmtId="0" fontId="19" fillId="48" borderId="39" xfId="0" applyFont="1" applyFill="1" applyBorder="1" applyAlignment="1">
      <alignment horizontal="center" vertical="center"/>
    </xf>
    <xf numFmtId="0" fontId="19" fillId="48" borderId="21" xfId="0" applyFont="1" applyFill="1" applyBorder="1" applyAlignment="1">
      <alignment horizontal="center" vertical="center"/>
    </xf>
    <xf numFmtId="0" fontId="19" fillId="48" borderId="13" xfId="0" applyFont="1" applyFill="1" applyBorder="1" applyAlignment="1">
      <alignment horizontal="center" vertical="center"/>
    </xf>
    <xf numFmtId="0" fontId="9" fillId="17" borderId="38" xfId="0" applyFont="1" applyFill="1" applyBorder="1" applyAlignment="1">
      <alignment horizontal="center" vertical="center"/>
    </xf>
    <xf numFmtId="0" fontId="9" fillId="17" borderId="39" xfId="0" applyFont="1" applyFill="1" applyBorder="1" applyAlignment="1">
      <alignment horizontal="center" vertical="center"/>
    </xf>
    <xf numFmtId="0" fontId="9" fillId="17" borderId="21" xfId="0" applyFont="1" applyFill="1" applyBorder="1" applyAlignment="1">
      <alignment horizontal="center" vertical="center"/>
    </xf>
    <xf numFmtId="0" fontId="4" fillId="0" borderId="226" xfId="0" applyFont="1" applyBorder="1" applyAlignment="1">
      <alignment horizontal="center" vertical="center"/>
    </xf>
    <xf numFmtId="0" fontId="9" fillId="17" borderId="26" xfId="0" applyFont="1" applyFill="1" applyBorder="1" applyAlignment="1">
      <alignment horizontal="center" vertical="center"/>
    </xf>
    <xf numFmtId="0" fontId="19" fillId="48" borderId="12" xfId="0" applyFont="1" applyFill="1" applyBorder="1" applyAlignment="1">
      <alignment horizontal="center" vertical="center"/>
    </xf>
    <xf numFmtId="0" fontId="19" fillId="48" borderId="16" xfId="0" applyFont="1" applyFill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0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6" fillId="9" borderId="1" xfId="0" applyFont="1" applyFill="1" applyBorder="1" applyAlignment="1">
      <alignment vertical="center" wrapText="1"/>
    </xf>
    <xf numFmtId="0" fontId="26" fillId="9" borderId="80" xfId="0" applyFont="1" applyFill="1" applyBorder="1" applyAlignment="1">
      <alignment vertical="center" wrapText="1"/>
    </xf>
    <xf numFmtId="0" fontId="26" fillId="9" borderId="1" xfId="0" applyFont="1" applyFill="1" applyBorder="1" applyAlignment="1">
      <alignment vertical="center" wrapText="1"/>
    </xf>
    <xf numFmtId="0" fontId="26" fillId="9" borderId="136" xfId="0" applyFont="1" applyFill="1" applyBorder="1" applyAlignment="1">
      <alignment vertical="center" wrapText="1"/>
    </xf>
    <xf numFmtId="0" fontId="19" fillId="14" borderId="22" xfId="0" applyFont="1" applyFill="1" applyBorder="1" applyAlignment="1">
      <alignment horizontal="center" vertical="center"/>
    </xf>
    <xf numFmtId="0" fontId="33" fillId="0" borderId="16" xfId="0" applyFont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0" fontId="19" fillId="38" borderId="180" xfId="0" applyFont="1" applyFill="1" applyBorder="1" applyAlignment="1">
      <alignment horizontal="center" vertical="center"/>
    </xf>
    <xf numFmtId="0" fontId="19" fillId="38" borderId="181" xfId="0" applyFont="1" applyFill="1" applyBorder="1" applyAlignment="1">
      <alignment horizontal="center" vertical="center"/>
    </xf>
    <xf numFmtId="0" fontId="19" fillId="38" borderId="184" xfId="0" applyFont="1" applyFill="1" applyBorder="1" applyAlignment="1">
      <alignment horizontal="center" vertical="center"/>
    </xf>
    <xf numFmtId="0" fontId="19" fillId="38" borderId="182" xfId="0" applyFont="1" applyFill="1" applyBorder="1" applyAlignment="1">
      <alignment horizontal="center" vertical="center"/>
    </xf>
    <xf numFmtId="0" fontId="19" fillId="14" borderId="8" xfId="0" applyFont="1" applyFill="1" applyBorder="1" applyAlignment="1">
      <alignment horizontal="center" vertical="center"/>
    </xf>
    <xf numFmtId="0" fontId="19" fillId="34" borderId="180" xfId="0" applyFont="1" applyFill="1" applyBorder="1" applyAlignment="1">
      <alignment horizontal="center" vertical="center"/>
    </xf>
    <xf numFmtId="0" fontId="19" fillId="34" borderId="181" xfId="0" applyFont="1" applyFill="1" applyBorder="1" applyAlignment="1">
      <alignment horizontal="center" vertical="center"/>
    </xf>
    <xf numFmtId="0" fontId="19" fillId="34" borderId="182" xfId="0" applyFont="1" applyFill="1" applyBorder="1" applyAlignment="1">
      <alignment horizontal="center" vertical="center"/>
    </xf>
    <xf numFmtId="0" fontId="5" fillId="17" borderId="2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3" fillId="0" borderId="18" xfId="0" applyFont="1" applyBorder="1" applyAlignment="1">
      <alignment horizontal="center" vertical="center"/>
    </xf>
    <xf numFmtId="0" fontId="5" fillId="14" borderId="28" xfId="0" applyFont="1" applyFill="1" applyBorder="1" applyAlignment="1">
      <alignment vertical="center"/>
    </xf>
    <xf numFmtId="0" fontId="5" fillId="14" borderId="116" xfId="0" applyFont="1" applyFill="1" applyBorder="1" applyAlignment="1">
      <alignment horizontal="center" vertical="center"/>
    </xf>
    <xf numFmtId="0" fontId="5" fillId="14" borderId="17" xfId="0" applyFont="1" applyFill="1" applyBorder="1" applyAlignment="1">
      <alignment horizontal="center" vertical="center"/>
    </xf>
    <xf numFmtId="0" fontId="5" fillId="14" borderId="15" xfId="0" applyFont="1" applyFill="1" applyBorder="1" applyAlignment="1">
      <alignment vertical="center"/>
    </xf>
    <xf numFmtId="0" fontId="5" fillId="14" borderId="14" xfId="0" applyFont="1" applyFill="1" applyBorder="1" applyAlignment="1">
      <alignment vertical="center"/>
    </xf>
    <xf numFmtId="0" fontId="24" fillId="9" borderId="2" xfId="0" applyFont="1" applyFill="1" applyBorder="1" applyAlignment="1">
      <alignment horizontal="center" vertical="center"/>
    </xf>
    <xf numFmtId="0" fontId="24" fillId="9" borderId="129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136" xfId="0" applyFont="1" applyFill="1" applyBorder="1" applyAlignment="1">
      <alignment vertical="center"/>
    </xf>
    <xf numFmtId="0" fontId="24" fillId="9" borderId="130" xfId="0" applyFont="1" applyFill="1" applyBorder="1" applyAlignment="1">
      <alignment horizontal="center" vertical="center"/>
    </xf>
    <xf numFmtId="0" fontId="41" fillId="44" borderId="112" xfId="0" applyFont="1" applyFill="1" applyBorder="1" applyAlignment="1">
      <alignment vertical="center"/>
    </xf>
    <xf numFmtId="0" fontId="40" fillId="0" borderId="41" xfId="0" applyFont="1" applyBorder="1" applyAlignment="1">
      <alignment vertical="center"/>
    </xf>
    <xf numFmtId="0" fontId="40" fillId="0" borderId="220" xfId="0" applyFont="1" applyBorder="1" applyAlignment="1">
      <alignment vertical="center"/>
    </xf>
    <xf numFmtId="0" fontId="40" fillId="42" borderId="112" xfId="0" applyFont="1" applyFill="1" applyBorder="1" applyAlignment="1">
      <alignment vertical="center"/>
    </xf>
    <xf numFmtId="0" fontId="40" fillId="17" borderId="52" xfId="0" applyFont="1" applyFill="1" applyBorder="1" applyAlignment="1">
      <alignment vertical="center"/>
    </xf>
    <xf numFmtId="0" fontId="40" fillId="0" borderId="1" xfId="0" applyFont="1" applyBorder="1" applyAlignment="1">
      <alignment vertical="center"/>
    </xf>
    <xf numFmtId="0" fontId="40" fillId="0" borderId="178" xfId="0" applyFont="1" applyBorder="1" applyAlignment="1">
      <alignment vertical="center"/>
    </xf>
    <xf numFmtId="0" fontId="40" fillId="43" borderId="112" xfId="0" applyFont="1" applyFill="1" applyBorder="1" applyAlignment="1">
      <alignment vertical="center"/>
    </xf>
    <xf numFmtId="0" fontId="5" fillId="16" borderId="159" xfId="0" applyFont="1" applyFill="1" applyBorder="1" applyAlignment="1">
      <alignment vertical="center"/>
    </xf>
    <xf numFmtId="0" fontId="24" fillId="11" borderId="128" xfId="0" applyFont="1" applyFill="1" applyBorder="1" applyAlignment="1">
      <alignment horizontal="center" vertical="center"/>
    </xf>
    <xf numFmtId="0" fontId="23" fillId="9" borderId="35" xfId="0" applyFont="1" applyFill="1" applyBorder="1" applyAlignment="1">
      <alignment horizontal="center"/>
    </xf>
    <xf numFmtId="0" fontId="23" fillId="9" borderId="30" xfId="0" applyFont="1" applyFill="1" applyBorder="1" applyAlignment="1">
      <alignment horizontal="center"/>
    </xf>
    <xf numFmtId="0" fontId="24" fillId="9" borderId="128" xfId="0" applyFont="1" applyFill="1" applyBorder="1" applyAlignment="1">
      <alignment horizontal="center" vertical="center"/>
    </xf>
    <xf numFmtId="0" fontId="50" fillId="19" borderId="3" xfId="0" applyFont="1" applyFill="1" applyBorder="1" applyAlignment="1">
      <alignment vertical="center"/>
    </xf>
    <xf numFmtId="0" fontId="50" fillId="19" borderId="162" xfId="0" applyFont="1" applyFill="1" applyBorder="1" applyAlignment="1">
      <alignment vertical="center"/>
    </xf>
    <xf numFmtId="0" fontId="20" fillId="9" borderId="1" xfId="0" applyFont="1" applyFill="1" applyBorder="1" applyAlignment="1">
      <alignment horizontal="center" vertical="center" wrapText="1"/>
    </xf>
    <xf numFmtId="0" fontId="50" fillId="18" borderId="15" xfId="0" applyFont="1" applyFill="1" applyBorder="1" applyAlignment="1">
      <alignment vertical="center"/>
    </xf>
    <xf numFmtId="0" fontId="50" fillId="19" borderId="15" xfId="0" applyFont="1" applyFill="1" applyBorder="1" applyAlignment="1">
      <alignment vertical="center"/>
    </xf>
    <xf numFmtId="0" fontId="50" fillId="19" borderId="34" xfId="0" applyFont="1" applyFill="1" applyBorder="1" applyAlignment="1">
      <alignment vertical="center"/>
    </xf>
    <xf numFmtId="0" fontId="22" fillId="9" borderId="35" xfId="0" applyFont="1" applyFill="1" applyBorder="1" applyAlignment="1">
      <alignment horizontal="center" vertical="center"/>
    </xf>
    <xf numFmtId="0" fontId="23" fillId="9" borderId="36" xfId="0" applyFont="1" applyFill="1" applyBorder="1" applyAlignment="1">
      <alignment horizontal="center"/>
    </xf>
    <xf numFmtId="0" fontId="25" fillId="9" borderId="130" xfId="0" applyFont="1" applyFill="1" applyBorder="1" applyAlignment="1">
      <alignment horizontal="center" vertical="center"/>
    </xf>
    <xf numFmtId="0" fontId="24" fillId="9" borderId="35" xfId="0" applyFont="1" applyFill="1" applyBorder="1" applyAlignment="1">
      <alignment horizontal="center" vertical="center"/>
    </xf>
    <xf numFmtId="0" fontId="24" fillId="9" borderId="30" xfId="0" applyFont="1" applyFill="1" applyBorder="1" applyAlignment="1">
      <alignment horizontal="center" vertical="center"/>
    </xf>
    <xf numFmtId="0" fontId="24" fillId="9" borderId="36" xfId="0" applyFont="1" applyFill="1" applyBorder="1" applyAlignment="1">
      <alignment horizontal="center" vertical="center"/>
    </xf>
    <xf numFmtId="0" fontId="40" fillId="9" borderId="1" xfId="0" applyFont="1" applyFill="1" applyBorder="1" applyAlignment="1">
      <alignment vertical="center"/>
    </xf>
    <xf numFmtId="0" fontId="24" fillId="11" borderId="35" xfId="0" applyFont="1" applyFill="1" applyBorder="1" applyAlignment="1">
      <alignment horizontal="center" vertical="center"/>
    </xf>
    <xf numFmtId="0" fontId="24" fillId="11" borderId="30" xfId="0" applyFont="1" applyFill="1" applyBorder="1" applyAlignment="1">
      <alignment horizontal="center" vertical="center"/>
    </xf>
    <xf numFmtId="0" fontId="24" fillId="11" borderId="2" xfId="0" applyFont="1" applyFill="1" applyBorder="1" applyAlignment="1">
      <alignment horizontal="center" vertical="center"/>
    </xf>
    <xf numFmtId="0" fontId="24" fillId="11" borderId="130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5" fillId="9" borderId="30" xfId="0" applyFont="1" applyFill="1" applyBorder="1" applyAlignment="1">
      <alignment horizontal="center" vertical="center"/>
    </xf>
    <xf numFmtId="0" fontId="25" fillId="9" borderId="2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0" fontId="25" fillId="9" borderId="19" xfId="0" applyFont="1" applyFill="1" applyBorder="1" applyAlignment="1">
      <alignment horizontal="center" vertical="center"/>
    </xf>
    <xf numFmtId="0" fontId="24" fillId="9" borderId="32" xfId="0" applyFont="1" applyFill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0" fontId="50" fillId="9" borderId="3" xfId="0" applyFont="1" applyFill="1" applyBorder="1" applyAlignment="1">
      <alignment horizontal="center" vertical="center"/>
    </xf>
    <xf numFmtId="0" fontId="50" fillId="9" borderId="15" xfId="0" applyFont="1" applyFill="1" applyBorder="1" applyAlignment="1">
      <alignment horizontal="center" vertical="center"/>
    </xf>
    <xf numFmtId="0" fontId="50" fillId="9" borderId="162" xfId="0" applyFont="1" applyFill="1" applyBorder="1" applyAlignment="1">
      <alignment horizontal="center" vertical="center"/>
    </xf>
    <xf numFmtId="0" fontId="25" fillId="11" borderId="36" xfId="0" applyFont="1" applyFill="1" applyBorder="1" applyAlignment="1">
      <alignment horizontal="center" vertical="center"/>
    </xf>
    <xf numFmtId="0" fontId="5" fillId="16" borderId="115" xfId="0" applyFont="1" applyFill="1" applyBorder="1" applyAlignment="1">
      <alignment vertical="center"/>
    </xf>
    <xf numFmtId="0" fontId="19" fillId="15" borderId="180" xfId="0" applyFont="1" applyFill="1" applyBorder="1" applyAlignment="1">
      <alignment horizontal="center" vertical="center"/>
    </xf>
    <xf numFmtId="0" fontId="19" fillId="15" borderId="181" xfId="0" applyFont="1" applyFill="1" applyBorder="1" applyAlignment="1">
      <alignment horizontal="center" vertical="center"/>
    </xf>
    <xf numFmtId="0" fontId="19" fillId="15" borderId="184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19" fillId="9" borderId="100" xfId="0" applyFont="1" applyFill="1" applyBorder="1" applyAlignment="1">
      <alignment horizontal="center" vertical="center"/>
    </xf>
    <xf numFmtId="0" fontId="5" fillId="9" borderId="144" xfId="0" applyFont="1" applyFill="1" applyBorder="1" applyAlignment="1">
      <alignment horizontal="center" vertical="center"/>
    </xf>
    <xf numFmtId="0" fontId="5" fillId="9" borderId="145" xfId="0" applyFont="1" applyFill="1" applyBorder="1" applyAlignment="1">
      <alignment horizontal="center" vertical="center"/>
    </xf>
    <xf numFmtId="0" fontId="5" fillId="9" borderId="147" xfId="0" applyFont="1" applyFill="1" applyBorder="1" applyAlignment="1">
      <alignment horizontal="center" vertical="center"/>
    </xf>
    <xf numFmtId="0" fontId="20" fillId="16" borderId="4" xfId="0" applyFont="1" applyFill="1" applyBorder="1" applyAlignment="1">
      <alignment vertical="center"/>
    </xf>
    <xf numFmtId="0" fontId="19" fillId="14" borderId="100" xfId="0" applyFont="1" applyFill="1" applyBorder="1" applyAlignment="1">
      <alignment horizontal="center" vertical="center"/>
    </xf>
    <xf numFmtId="0" fontId="19" fillId="14" borderId="99" xfId="0" applyFont="1" applyFill="1" applyBorder="1" applyAlignment="1">
      <alignment horizontal="center" vertical="center"/>
    </xf>
    <xf numFmtId="0" fontId="50" fillId="18" borderId="162" xfId="0" applyFont="1" applyFill="1" applyBorder="1" applyAlignment="1">
      <alignment vertical="center"/>
    </xf>
    <xf numFmtId="0" fontId="4" fillId="9" borderId="223" xfId="0" applyFont="1" applyFill="1" applyBorder="1" applyAlignment="1">
      <alignment horizontal="center" vertical="center"/>
    </xf>
    <xf numFmtId="0" fontId="4" fillId="9" borderId="207" xfId="0" applyFont="1" applyFill="1" applyBorder="1" applyAlignment="1">
      <alignment horizontal="center" vertical="center"/>
    </xf>
    <xf numFmtId="0" fontId="50" fillId="18" borderId="11" xfId="0" applyFont="1" applyFill="1" applyBorder="1" applyAlignment="1">
      <alignment vertical="center"/>
    </xf>
    <xf numFmtId="0" fontId="50" fillId="19" borderId="11" xfId="0" applyFont="1" applyFill="1" applyBorder="1" applyAlignment="1">
      <alignment vertical="center"/>
    </xf>
    <xf numFmtId="0" fontId="19" fillId="19" borderId="99" xfId="0" applyFont="1" applyFill="1" applyBorder="1" applyAlignment="1">
      <alignment horizontal="center" vertical="center"/>
    </xf>
    <xf numFmtId="0" fontId="19" fillId="19" borderId="75" xfId="0" applyFont="1" applyFill="1" applyBorder="1" applyAlignment="1">
      <alignment horizontal="center" vertical="center"/>
    </xf>
    <xf numFmtId="0" fontId="19" fillId="19" borderId="100" xfId="0" applyFont="1" applyFill="1" applyBorder="1" applyAlignment="1">
      <alignment horizontal="center" vertical="center"/>
    </xf>
    <xf numFmtId="0" fontId="19" fillId="19" borderId="4" xfId="0" applyFont="1" applyFill="1" applyBorder="1" applyAlignment="1">
      <alignment horizontal="center" vertical="center"/>
    </xf>
    <xf numFmtId="0" fontId="4" fillId="19" borderId="8" xfId="0" applyFont="1" applyFill="1" applyBorder="1" applyAlignment="1">
      <alignment horizontal="center" vertical="center"/>
    </xf>
    <xf numFmtId="0" fontId="4" fillId="19" borderId="5" xfId="0" applyFont="1" applyFill="1" applyBorder="1" applyAlignment="1">
      <alignment horizontal="center" vertical="center"/>
    </xf>
    <xf numFmtId="0" fontId="4" fillId="19" borderId="6" xfId="0" applyFont="1" applyFill="1" applyBorder="1" applyAlignment="1">
      <alignment horizontal="center" vertical="center"/>
    </xf>
    <xf numFmtId="0" fontId="4" fillId="19" borderId="131" xfId="0" applyFont="1" applyFill="1" applyBorder="1" applyAlignment="1">
      <alignment horizontal="center" vertical="center"/>
    </xf>
    <xf numFmtId="0" fontId="4" fillId="19" borderId="133" xfId="0" applyFont="1" applyFill="1" applyBorder="1" applyAlignment="1">
      <alignment horizontal="center" vertical="center"/>
    </xf>
    <xf numFmtId="0" fontId="31" fillId="9" borderId="109" xfId="0" applyFont="1" applyFill="1" applyBorder="1" applyAlignment="1">
      <alignment vertical="center" wrapText="1"/>
    </xf>
    <xf numFmtId="0" fontId="20" fillId="9" borderId="35" xfId="0" applyFont="1" applyFill="1" applyBorder="1" applyAlignment="1">
      <alignment vertical="center" wrapText="1"/>
    </xf>
    <xf numFmtId="0" fontId="20" fillId="9" borderId="37" xfId="0" applyFont="1" applyFill="1" applyBorder="1" applyAlignment="1">
      <alignment vertical="center" wrapText="1"/>
    </xf>
    <xf numFmtId="0" fontId="20" fillId="9" borderId="36" xfId="0" applyFont="1" applyFill="1" applyBorder="1" applyAlignment="1">
      <alignment vertical="center" wrapText="1"/>
    </xf>
    <xf numFmtId="0" fontId="4" fillId="9" borderId="183" xfId="0" applyFont="1" applyFill="1" applyBorder="1" applyAlignment="1">
      <alignment horizontal="center" vertical="center"/>
    </xf>
    <xf numFmtId="0" fontId="19" fillId="15" borderId="183" xfId="0" applyFont="1" applyFill="1" applyBorder="1" applyAlignment="1">
      <alignment horizontal="center" vertical="center"/>
    </xf>
    <xf numFmtId="0" fontId="4" fillId="14" borderId="7" xfId="0" applyFont="1" applyFill="1" applyBorder="1" applyAlignment="1">
      <alignment horizontal="center" vertical="center"/>
    </xf>
    <xf numFmtId="0" fontId="50" fillId="18" borderId="2" xfId="0" applyFont="1" applyFill="1" applyBorder="1" applyAlignment="1">
      <alignment vertical="center"/>
    </xf>
    <xf numFmtId="0" fontId="50" fillId="18" borderId="32" xfId="0" applyFont="1" applyFill="1" applyBorder="1" applyAlignment="1">
      <alignment vertical="center"/>
    </xf>
    <xf numFmtId="0" fontId="5" fillId="16" borderId="160" xfId="0" applyFont="1" applyFill="1" applyBorder="1" applyAlignment="1">
      <alignment vertical="center"/>
    </xf>
    <xf numFmtId="0" fontId="19" fillId="30" borderId="12" xfId="0" applyFont="1" applyFill="1" applyBorder="1" applyAlignment="1">
      <alignment horizontal="center" vertical="center"/>
    </xf>
    <xf numFmtId="0" fontId="19" fillId="30" borderId="14" xfId="0" applyFont="1" applyFill="1" applyBorder="1" applyAlignment="1">
      <alignment horizontal="center" vertical="center"/>
    </xf>
    <xf numFmtId="0" fontId="19" fillId="30" borderId="40" xfId="0" applyFont="1" applyFill="1" applyBorder="1" applyAlignment="1">
      <alignment horizontal="center" vertical="center"/>
    </xf>
    <xf numFmtId="0" fontId="5" fillId="30" borderId="14" xfId="0" applyFont="1" applyFill="1" applyBorder="1" applyAlignment="1">
      <alignment horizontal="center" vertical="center"/>
    </xf>
    <xf numFmtId="0" fontId="4" fillId="19" borderId="7" xfId="0" applyFont="1" applyFill="1" applyBorder="1" applyAlignment="1">
      <alignment horizontal="center" vertical="center"/>
    </xf>
    <xf numFmtId="0" fontId="9" fillId="19" borderId="22" xfId="0" applyFont="1" applyFill="1" applyBorder="1" applyAlignment="1">
      <alignment horizontal="center" vertical="center"/>
    </xf>
    <xf numFmtId="0" fontId="16" fillId="9" borderId="38" xfId="0" applyFont="1" applyFill="1" applyBorder="1" applyAlignment="1">
      <alignment horizontal="center" vertical="center"/>
    </xf>
    <xf numFmtId="0" fontId="16" fillId="9" borderId="39" xfId="0" applyFont="1" applyFill="1" applyBorder="1" applyAlignment="1">
      <alignment horizontal="center" vertical="center"/>
    </xf>
    <xf numFmtId="0" fontId="16" fillId="9" borderId="21" xfId="0" applyFont="1" applyFill="1" applyBorder="1" applyAlignment="1">
      <alignment horizontal="center" vertical="center"/>
    </xf>
    <xf numFmtId="0" fontId="16" fillId="9" borderId="40" xfId="0" applyFont="1" applyFill="1" applyBorder="1" applyAlignment="1">
      <alignment horizontal="center" vertical="center"/>
    </xf>
    <xf numFmtId="0" fontId="16" fillId="9" borderId="5" xfId="0" applyFont="1" applyFill="1" applyBorder="1" applyAlignment="1">
      <alignment horizontal="center" vertical="center"/>
    </xf>
    <xf numFmtId="0" fontId="16" fillId="9" borderId="6" xfId="0" applyFont="1" applyFill="1" applyBorder="1" applyAlignment="1">
      <alignment horizontal="center" vertical="center"/>
    </xf>
    <xf numFmtId="0" fontId="16" fillId="9" borderId="25" xfId="0" applyFont="1" applyFill="1" applyBorder="1" applyAlignment="1">
      <alignment horizontal="center" vertical="center"/>
    </xf>
    <xf numFmtId="0" fontId="16" fillId="9" borderId="26" xfId="0" applyFont="1" applyFill="1" applyBorder="1" applyAlignment="1">
      <alignment horizontal="center" vertical="center"/>
    </xf>
    <xf numFmtId="0" fontId="16" fillId="9" borderId="10" xfId="0" applyFont="1" applyFill="1" applyBorder="1" applyAlignment="1">
      <alignment horizontal="center" vertical="center"/>
    </xf>
    <xf numFmtId="0" fontId="5" fillId="2" borderId="231" xfId="0" applyFont="1" applyFill="1" applyBorder="1" applyAlignment="1">
      <alignment horizontal="center" vertical="center"/>
    </xf>
    <xf numFmtId="0" fontId="21" fillId="18" borderId="80" xfId="0" applyFont="1" applyFill="1" applyBorder="1" applyAlignment="1">
      <alignment horizontal="center" vertical="center" wrapText="1"/>
    </xf>
    <xf numFmtId="0" fontId="50" fillId="18" borderId="31" xfId="0" applyFont="1" applyFill="1" applyBorder="1" applyAlignment="1">
      <alignment vertical="center"/>
    </xf>
    <xf numFmtId="0" fontId="50" fillId="18" borderId="28" xfId="0" applyFont="1" applyFill="1" applyBorder="1" applyAlignment="1">
      <alignment vertical="center"/>
    </xf>
    <xf numFmtId="0" fontId="50" fillId="18" borderId="33" xfId="0" applyFont="1" applyFill="1" applyBorder="1" applyAlignment="1">
      <alignment vertical="center"/>
    </xf>
    <xf numFmtId="0" fontId="9" fillId="9" borderId="147" xfId="0" applyFont="1" applyFill="1" applyBorder="1" applyAlignment="1">
      <alignment horizontal="center" vertical="center"/>
    </xf>
    <xf numFmtId="0" fontId="19" fillId="9" borderId="148" xfId="0" applyFont="1" applyFill="1" applyBorder="1" applyAlignment="1">
      <alignment horizontal="center" vertical="center"/>
    </xf>
    <xf numFmtId="0" fontId="9" fillId="9" borderId="223" xfId="0" applyFont="1" applyFill="1" applyBorder="1" applyAlignment="1">
      <alignment horizontal="center" vertical="center"/>
    </xf>
    <xf numFmtId="0" fontId="9" fillId="9" borderId="206" xfId="0" applyFont="1" applyFill="1" applyBorder="1" applyAlignment="1">
      <alignment horizontal="center" vertical="center"/>
    </xf>
    <xf numFmtId="0" fontId="9" fillId="9" borderId="213" xfId="0" applyFont="1" applyFill="1" applyBorder="1" applyAlignment="1">
      <alignment horizontal="center" vertical="center"/>
    </xf>
    <xf numFmtId="0" fontId="19" fillId="9" borderId="205" xfId="0" applyFont="1" applyFill="1" applyBorder="1" applyAlignment="1">
      <alignment horizontal="center" vertical="center"/>
    </xf>
    <xf numFmtId="0" fontId="19" fillId="9" borderId="206" xfId="0" applyFont="1" applyFill="1" applyBorder="1" applyAlignment="1">
      <alignment horizontal="center" vertical="center"/>
    </xf>
    <xf numFmtId="0" fontId="19" fillId="9" borderId="207" xfId="0" applyFont="1" applyFill="1" applyBorder="1" applyAlignment="1">
      <alignment horizontal="center" vertical="center"/>
    </xf>
    <xf numFmtId="0" fontId="5" fillId="14" borderId="223" xfId="0" applyFont="1" applyFill="1" applyBorder="1" applyAlignment="1">
      <alignment horizontal="center" vertical="center"/>
    </xf>
    <xf numFmtId="0" fontId="5" fillId="14" borderId="206" xfId="0" applyFont="1" applyFill="1" applyBorder="1" applyAlignment="1">
      <alignment horizontal="center" vertical="center"/>
    </xf>
    <xf numFmtId="0" fontId="5" fillId="14" borderId="213" xfId="0" applyFont="1" applyFill="1" applyBorder="1" applyAlignment="1">
      <alignment horizontal="center" vertical="center"/>
    </xf>
    <xf numFmtId="0" fontId="19" fillId="9" borderId="223" xfId="0" applyFont="1" applyFill="1" applyBorder="1" applyAlignment="1">
      <alignment horizontal="center" vertical="center"/>
    </xf>
    <xf numFmtId="0" fontId="19" fillId="9" borderId="213" xfId="0" applyFont="1" applyFill="1" applyBorder="1" applyAlignment="1">
      <alignment horizontal="center" vertical="center"/>
    </xf>
    <xf numFmtId="0" fontId="4" fillId="19" borderId="223" xfId="0" applyFont="1" applyFill="1" applyBorder="1" applyAlignment="1">
      <alignment horizontal="center" vertical="center"/>
    </xf>
    <xf numFmtId="0" fontId="4" fillId="19" borderId="206" xfId="0" applyFont="1" applyFill="1" applyBorder="1" applyAlignment="1">
      <alignment horizontal="center" vertical="center"/>
    </xf>
    <xf numFmtId="0" fontId="4" fillId="19" borderId="207" xfId="0" applyFont="1" applyFill="1" applyBorder="1" applyAlignment="1">
      <alignment horizontal="center" vertical="center"/>
    </xf>
    <xf numFmtId="0" fontId="5" fillId="25" borderId="2" xfId="0" applyFont="1" applyFill="1" applyBorder="1" applyAlignment="1">
      <alignment horizontal="center" vertical="center" wrapText="1"/>
    </xf>
    <xf numFmtId="0" fontId="50" fillId="18" borderId="129" xfId="0" applyFont="1" applyFill="1" applyBorder="1" applyAlignment="1">
      <alignment vertical="center"/>
    </xf>
    <xf numFmtId="0" fontId="19" fillId="19" borderId="147" xfId="0" applyFont="1" applyFill="1" applyBorder="1" applyAlignment="1">
      <alignment horizontal="center" vertical="center"/>
    </xf>
    <xf numFmtId="0" fontId="4" fillId="14" borderId="144" xfId="0" applyFont="1" applyFill="1" applyBorder="1" applyAlignment="1">
      <alignment horizontal="center" vertical="center"/>
    </xf>
    <xf numFmtId="0" fontId="4" fillId="14" borderId="145" xfId="0" applyFont="1" applyFill="1" applyBorder="1" applyAlignment="1">
      <alignment horizontal="center" vertical="center"/>
    </xf>
    <xf numFmtId="0" fontId="4" fillId="14" borderId="147" xfId="0" applyFont="1" applyFill="1" applyBorder="1" applyAlignment="1">
      <alignment horizontal="center" vertical="center"/>
    </xf>
    <xf numFmtId="0" fontId="20" fillId="19" borderId="35" xfId="0" applyFont="1" applyFill="1" applyBorder="1" applyAlignment="1">
      <alignment horizontal="center" vertical="center"/>
    </xf>
    <xf numFmtId="0" fontId="5" fillId="19" borderId="30" xfId="0" applyFont="1" applyFill="1" applyBorder="1" applyAlignment="1">
      <alignment horizontal="center" vertical="center"/>
    </xf>
    <xf numFmtId="0" fontId="5" fillId="18" borderId="30" xfId="0" applyFont="1" applyFill="1" applyBorder="1" applyAlignment="1">
      <alignment horizontal="center" vertical="center"/>
    </xf>
    <xf numFmtId="0" fontId="50" fillId="15" borderId="32" xfId="0" applyFont="1" applyFill="1" applyBorder="1" applyAlignment="1">
      <alignment horizontal="center" vertical="center"/>
    </xf>
    <xf numFmtId="0" fontId="50" fillId="15" borderId="30" xfId="0" applyFont="1" applyFill="1" applyBorder="1" applyAlignment="1">
      <alignment horizontal="center" vertical="center"/>
    </xf>
    <xf numFmtId="0" fontId="50" fillId="15" borderId="2" xfId="0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/>
    </xf>
    <xf numFmtId="0" fontId="20" fillId="9" borderId="80" xfId="0" applyFont="1" applyFill="1" applyBorder="1" applyAlignment="1">
      <alignment vertical="center" wrapText="1"/>
    </xf>
    <xf numFmtId="0" fontId="20" fillId="9" borderId="1" xfId="0" applyFont="1" applyFill="1" applyBorder="1" applyAlignment="1">
      <alignment vertical="center" wrapText="1"/>
    </xf>
    <xf numFmtId="0" fontId="31" fillId="9" borderId="1" xfId="0" applyFont="1" applyFill="1" applyBorder="1" applyAlignment="1">
      <alignment vertical="center" wrapText="1"/>
    </xf>
    <xf numFmtId="0" fontId="19" fillId="18" borderId="14" xfId="0" applyFont="1" applyFill="1" applyBorder="1" applyAlignment="1">
      <alignment horizontal="center" vertical="center"/>
    </xf>
    <xf numFmtId="0" fontId="19" fillId="18" borderId="40" xfId="0" applyFont="1" applyFill="1" applyBorder="1" applyAlignment="1">
      <alignment horizontal="center" vertical="center"/>
    </xf>
    <xf numFmtId="0" fontId="19" fillId="18" borderId="5" xfId="0" applyFont="1" applyFill="1" applyBorder="1" applyAlignment="1">
      <alignment horizontal="center" vertical="center"/>
    </xf>
    <xf numFmtId="0" fontId="19" fillId="18" borderId="6" xfId="0" applyFont="1" applyFill="1" applyBorder="1" applyAlignment="1">
      <alignment horizontal="center" vertical="center"/>
    </xf>
    <xf numFmtId="0" fontId="19" fillId="18" borderId="27" xfId="0" applyFont="1" applyFill="1" applyBorder="1" applyAlignment="1">
      <alignment horizontal="center" vertical="center"/>
    </xf>
    <xf numFmtId="0" fontId="19" fillId="16" borderId="182" xfId="0" applyFont="1" applyFill="1" applyBorder="1" applyAlignment="1">
      <alignment horizontal="center" vertical="center"/>
    </xf>
    <xf numFmtId="0" fontId="5" fillId="38" borderId="12" xfId="0" applyFont="1" applyFill="1" applyBorder="1" applyAlignment="1">
      <alignment horizontal="center" vertical="center"/>
    </xf>
    <xf numFmtId="0" fontId="5" fillId="38" borderId="13" xfId="0" applyFont="1" applyFill="1" applyBorder="1" applyAlignment="1">
      <alignment horizontal="center" vertical="center"/>
    </xf>
    <xf numFmtId="0" fontId="5" fillId="38" borderId="14" xfId="0" applyFont="1" applyFill="1" applyBorder="1" applyAlignment="1">
      <alignment horizontal="center" vertical="center"/>
    </xf>
    <xf numFmtId="0" fontId="4" fillId="38" borderId="14" xfId="0" applyFont="1" applyFill="1" applyBorder="1" applyAlignment="1">
      <alignment horizontal="center" vertical="center"/>
    </xf>
    <xf numFmtId="0" fontId="29" fillId="14" borderId="14" xfId="0" applyFont="1" applyFill="1" applyBorder="1" applyAlignment="1">
      <alignment horizontal="center" vertical="center"/>
    </xf>
    <xf numFmtId="0" fontId="5" fillId="19" borderId="2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4" fillId="38" borderId="18" xfId="0" applyFont="1" applyFill="1" applyBorder="1" applyAlignment="1">
      <alignment horizontal="center" vertical="center"/>
    </xf>
    <xf numFmtId="0" fontId="19" fillId="18" borderId="145" xfId="0" applyFont="1" applyFill="1" applyBorder="1" applyAlignment="1">
      <alignment horizontal="center" vertical="center"/>
    </xf>
    <xf numFmtId="0" fontId="50" fillId="18" borderId="37" xfId="0" applyFont="1" applyFill="1" applyBorder="1" applyAlignment="1">
      <alignment vertical="center"/>
    </xf>
    <xf numFmtId="0" fontId="19" fillId="15" borderId="40" xfId="0" applyFont="1" applyFill="1" applyBorder="1" applyAlignment="1">
      <alignment horizontal="center" vertical="center"/>
    </xf>
    <xf numFmtId="0" fontId="19" fillId="15" borderId="5" xfId="0" applyFont="1" applyFill="1" applyBorder="1" applyAlignment="1">
      <alignment horizontal="center" vertical="center"/>
    </xf>
    <xf numFmtId="0" fontId="19" fillId="15" borderId="6" xfId="0" applyFont="1" applyFill="1" applyBorder="1" applyAlignment="1">
      <alignment horizontal="center" vertical="center"/>
    </xf>
    <xf numFmtId="0" fontId="5" fillId="25" borderId="30" xfId="0" applyFont="1" applyFill="1" applyBorder="1" applyAlignment="1">
      <alignment horizontal="center" vertical="center" wrapText="1"/>
    </xf>
    <xf numFmtId="0" fontId="19" fillId="46" borderId="12" xfId="0" applyFont="1" applyFill="1" applyBorder="1" applyAlignment="1">
      <alignment horizontal="center" vertical="center"/>
    </xf>
    <xf numFmtId="0" fontId="19" fillId="46" borderId="13" xfId="0" applyFont="1" applyFill="1" applyBorder="1" applyAlignment="1">
      <alignment horizontal="center" vertical="center"/>
    </xf>
    <xf numFmtId="0" fontId="19" fillId="46" borderId="14" xfId="0" applyFont="1" applyFill="1" applyBorder="1" applyAlignment="1">
      <alignment horizontal="center" vertical="center"/>
    </xf>
    <xf numFmtId="0" fontId="19" fillId="46" borderId="40" xfId="0" applyFont="1" applyFill="1" applyBorder="1" applyAlignment="1">
      <alignment horizontal="center" vertical="center"/>
    </xf>
    <xf numFmtId="0" fontId="19" fillId="46" borderId="5" xfId="0" applyFont="1" applyFill="1" applyBorder="1" applyAlignment="1">
      <alignment horizontal="center" vertical="center"/>
    </xf>
    <xf numFmtId="0" fontId="19" fillId="46" borderId="6" xfId="0" applyFont="1" applyFill="1" applyBorder="1" applyAlignment="1">
      <alignment horizontal="center" vertical="center"/>
    </xf>
    <xf numFmtId="0" fontId="19" fillId="46" borderId="16" xfId="0" applyFont="1" applyFill="1" applyBorder="1" applyAlignment="1">
      <alignment horizontal="center" vertical="center"/>
    </xf>
    <xf numFmtId="0" fontId="4" fillId="19" borderId="40" xfId="0" applyFont="1" applyFill="1" applyBorder="1" applyAlignment="1">
      <alignment horizontal="center" vertical="center"/>
    </xf>
    <xf numFmtId="0" fontId="5" fillId="18" borderId="15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center" vertical="center"/>
    </xf>
    <xf numFmtId="0" fontId="5" fillId="18" borderId="28" xfId="0" applyFont="1" applyFill="1" applyBorder="1" applyAlignment="1">
      <alignment horizontal="center" vertical="center"/>
    </xf>
    <xf numFmtId="0" fontId="5" fillId="25" borderId="137" xfId="0" applyFont="1" applyFill="1" applyBorder="1" applyAlignment="1">
      <alignment horizontal="center" vertical="center" wrapText="1"/>
    </xf>
    <xf numFmtId="0" fontId="5" fillId="16" borderId="80" xfId="0" applyFont="1" applyFill="1" applyBorder="1" applyAlignment="1">
      <alignment horizontal="center" vertical="center" wrapText="1"/>
    </xf>
    <xf numFmtId="0" fontId="9" fillId="9" borderId="144" xfId="0" applyFont="1" applyFill="1" applyBorder="1" applyAlignment="1">
      <alignment horizontal="center" vertical="center"/>
    </xf>
    <xf numFmtId="0" fontId="19" fillId="14" borderId="148" xfId="0" applyFont="1" applyFill="1" applyBorder="1" applyAlignment="1">
      <alignment horizontal="center" vertical="center"/>
    </xf>
    <xf numFmtId="0" fontId="19" fillId="9" borderId="147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/>
    </xf>
    <xf numFmtId="0" fontId="5" fillId="2" borderId="137" xfId="0" applyFont="1" applyFill="1" applyBorder="1" applyAlignment="1">
      <alignment horizontal="center" vertical="center"/>
    </xf>
    <xf numFmtId="0" fontId="50" fillId="18" borderId="115" xfId="0" applyFont="1" applyFill="1" applyBorder="1" applyAlignment="1">
      <alignment vertical="center"/>
    </xf>
    <xf numFmtId="0" fontId="50" fillId="18" borderId="116" xfId="0" applyFont="1" applyFill="1" applyBorder="1" applyAlignment="1">
      <alignment vertical="center"/>
    </xf>
    <xf numFmtId="0" fontId="50" fillId="18" borderId="117" xfId="0" applyFont="1" applyFill="1" applyBorder="1" applyAlignment="1">
      <alignment vertical="center"/>
    </xf>
    <xf numFmtId="0" fontId="19" fillId="14" borderId="147" xfId="0" applyFont="1" applyFill="1" applyBorder="1" applyAlignment="1">
      <alignment horizontal="center" vertical="center"/>
    </xf>
    <xf numFmtId="0" fontId="19" fillId="30" borderId="144" xfId="0" applyFont="1" applyFill="1" applyBorder="1" applyAlignment="1">
      <alignment horizontal="center" vertical="center"/>
    </xf>
    <xf numFmtId="0" fontId="19" fillId="30" borderId="145" xfId="0" applyFont="1" applyFill="1" applyBorder="1" applyAlignment="1">
      <alignment horizontal="center" vertical="center"/>
    </xf>
    <xf numFmtId="0" fontId="19" fillId="30" borderId="147" xfId="0" applyFont="1" applyFill="1" applyBorder="1" applyAlignment="1">
      <alignment horizontal="center" vertical="center"/>
    </xf>
    <xf numFmtId="0" fontId="50" fillId="16" borderId="2" xfId="0" applyFont="1" applyFill="1" applyBorder="1" applyAlignment="1">
      <alignment vertical="center"/>
    </xf>
    <xf numFmtId="0" fontId="4" fillId="14" borderId="146" xfId="0" applyFont="1" applyFill="1" applyBorder="1" applyAlignment="1">
      <alignment horizontal="center" vertical="center"/>
    </xf>
    <xf numFmtId="0" fontId="19" fillId="15" borderId="144" xfId="0" applyFont="1" applyFill="1" applyBorder="1" applyAlignment="1">
      <alignment horizontal="center" vertical="center"/>
    </xf>
    <xf numFmtId="0" fontId="19" fillId="15" borderId="145" xfId="0" applyFont="1" applyFill="1" applyBorder="1" applyAlignment="1">
      <alignment horizontal="center" vertical="center"/>
    </xf>
    <xf numFmtId="0" fontId="19" fillId="15" borderId="146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vertical="center"/>
    </xf>
    <xf numFmtId="0" fontId="19" fillId="15" borderId="7" xfId="0" applyFont="1" applyFill="1" applyBorder="1" applyAlignment="1">
      <alignment horizontal="center" vertical="center"/>
    </xf>
    <xf numFmtId="0" fontId="4" fillId="14" borderId="148" xfId="0" applyFont="1" applyFill="1" applyBorder="1" applyAlignment="1">
      <alignment horizontal="center" vertical="center"/>
    </xf>
    <xf numFmtId="0" fontId="19" fillId="18" borderId="144" xfId="0" applyFont="1" applyFill="1" applyBorder="1" applyAlignment="1">
      <alignment horizontal="center" vertical="center"/>
    </xf>
    <xf numFmtId="0" fontId="19" fillId="18" borderId="147" xfId="0" applyFont="1" applyFill="1" applyBorder="1" applyAlignment="1">
      <alignment horizontal="center" vertical="center"/>
    </xf>
    <xf numFmtId="0" fontId="5" fillId="9" borderId="146" xfId="0" applyFont="1" applyFill="1" applyBorder="1" applyAlignment="1">
      <alignment horizontal="center" vertical="center"/>
    </xf>
    <xf numFmtId="0" fontId="5" fillId="38" borderId="16" xfId="0" applyFont="1" applyFill="1" applyBorder="1" applyAlignment="1">
      <alignment horizontal="center" vertical="center"/>
    </xf>
    <xf numFmtId="0" fontId="19" fillId="19" borderId="148" xfId="0" applyFont="1" applyFill="1" applyBorder="1" applyAlignment="1">
      <alignment horizontal="center" vertical="center"/>
    </xf>
    <xf numFmtId="0" fontId="5" fillId="38" borderId="18" xfId="0" applyFont="1" applyFill="1" applyBorder="1" applyAlignment="1">
      <alignment horizontal="center" vertical="center"/>
    </xf>
    <xf numFmtId="0" fontId="19" fillId="40" borderId="183" xfId="0" applyFont="1" applyFill="1" applyBorder="1" applyAlignment="1">
      <alignment horizontal="center" vertical="center"/>
    </xf>
    <xf numFmtId="0" fontId="19" fillId="40" borderId="181" xfId="0" applyFont="1" applyFill="1" applyBorder="1" applyAlignment="1">
      <alignment horizontal="center" vertical="center"/>
    </xf>
    <xf numFmtId="0" fontId="19" fillId="40" borderId="184" xfId="0" applyFont="1" applyFill="1" applyBorder="1" applyAlignment="1">
      <alignment horizontal="center" vertical="center"/>
    </xf>
    <xf numFmtId="0" fontId="4" fillId="9" borderId="99" xfId="0" applyFont="1" applyFill="1" applyBorder="1" applyAlignment="1">
      <alignment horizontal="center" vertical="center"/>
    </xf>
    <xf numFmtId="0" fontId="4" fillId="9" borderId="75" xfId="0" applyFont="1" applyFill="1" applyBorder="1" applyAlignment="1">
      <alignment horizontal="center" vertical="center"/>
    </xf>
    <xf numFmtId="0" fontId="4" fillId="9" borderId="100" xfId="0" applyFont="1" applyFill="1" applyBorder="1" applyAlignment="1">
      <alignment horizontal="center" vertical="center"/>
    </xf>
    <xf numFmtId="0" fontId="19" fillId="9" borderId="226" xfId="0" applyFont="1" applyFill="1" applyBorder="1" applyAlignment="1">
      <alignment horizontal="center" vertical="center"/>
    </xf>
    <xf numFmtId="0" fontId="49" fillId="14" borderId="144" xfId="0" applyFont="1" applyFill="1" applyBorder="1" applyAlignment="1">
      <alignment horizontal="center" vertical="center"/>
    </xf>
    <xf numFmtId="0" fontId="49" fillId="14" borderId="145" xfId="0" applyFont="1" applyFill="1" applyBorder="1" applyAlignment="1">
      <alignment horizontal="center" vertical="center"/>
    </xf>
    <xf numFmtId="0" fontId="49" fillId="14" borderId="147" xfId="0" applyFont="1" applyFill="1" applyBorder="1" applyAlignment="1">
      <alignment horizontal="center" vertical="center"/>
    </xf>
    <xf numFmtId="0" fontId="5" fillId="16" borderId="80" xfId="0" applyFont="1" applyFill="1" applyBorder="1" applyAlignment="1">
      <alignment vertical="center"/>
    </xf>
    <xf numFmtId="0" fontId="20" fillId="16" borderId="37" xfId="0" applyFont="1" applyFill="1" applyBorder="1" applyAlignment="1">
      <alignment horizontal="center" vertical="center" wrapText="1"/>
    </xf>
    <xf numFmtId="0" fontId="20" fillId="16" borderId="36" xfId="0" applyFont="1" applyFill="1" applyBorder="1" applyAlignment="1">
      <alignment horizontal="center" vertical="center" wrapText="1"/>
    </xf>
    <xf numFmtId="0" fontId="20" fillId="19" borderId="35" xfId="0" applyFont="1" applyFill="1" applyBorder="1" applyAlignment="1">
      <alignment horizontal="center" vertical="center" wrapText="1"/>
    </xf>
    <xf numFmtId="0" fontId="20" fillId="19" borderId="37" xfId="0" applyFont="1" applyFill="1" applyBorder="1" applyAlignment="1">
      <alignment horizontal="center" vertical="center" wrapText="1"/>
    </xf>
    <xf numFmtId="0" fontId="20" fillId="19" borderId="36" xfId="0" applyFont="1" applyFill="1" applyBorder="1" applyAlignment="1">
      <alignment horizontal="center" vertical="center" wrapText="1"/>
    </xf>
    <xf numFmtId="0" fontId="9" fillId="9" borderId="80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0" fontId="9" fillId="9" borderId="137" xfId="0" applyFont="1" applyFill="1" applyBorder="1" applyAlignment="1">
      <alignment horizontal="center"/>
    </xf>
    <xf numFmtId="0" fontId="9" fillId="9" borderId="78" xfId="0" applyFont="1" applyFill="1" applyBorder="1" applyAlignment="1">
      <alignment horizontal="center"/>
    </xf>
    <xf numFmtId="0" fontId="31" fillId="19" borderId="173" xfId="0" applyFont="1" applyFill="1" applyBorder="1" applyAlignment="1">
      <alignment horizontal="center" vertical="center" wrapText="1"/>
    </xf>
    <xf numFmtId="0" fontId="6" fillId="19" borderId="174" xfId="0" applyFont="1" applyFill="1" applyBorder="1" applyAlignment="1">
      <alignment horizontal="center" vertical="center" wrapText="1"/>
    </xf>
    <xf numFmtId="0" fontId="12" fillId="9" borderId="128" xfId="0" applyFont="1" applyFill="1" applyBorder="1" applyAlignment="1">
      <alignment horizontal="center" vertical="center" wrapText="1"/>
    </xf>
    <xf numFmtId="0" fontId="12" fillId="9" borderId="129" xfId="0" applyFont="1" applyFill="1" applyBorder="1" applyAlignment="1">
      <alignment horizontal="center" vertical="center" wrapText="1"/>
    </xf>
    <xf numFmtId="0" fontId="12" fillId="9" borderId="130" xfId="0" applyFont="1" applyFill="1" applyBorder="1" applyAlignment="1">
      <alignment horizontal="center" vertical="center" wrapText="1"/>
    </xf>
    <xf numFmtId="0" fontId="5" fillId="28" borderId="30" xfId="0" applyFont="1" applyFill="1" applyBorder="1" applyAlignment="1">
      <alignment horizontal="center" vertical="center" wrapText="1"/>
    </xf>
    <xf numFmtId="0" fontId="5" fillId="28" borderId="32" xfId="0" applyFont="1" applyFill="1" applyBorder="1" applyAlignment="1">
      <alignment horizontal="center" vertical="center" wrapText="1"/>
    </xf>
    <xf numFmtId="0" fontId="5" fillId="28" borderId="19" xfId="0" applyFont="1" applyFill="1" applyBorder="1" applyAlignment="1">
      <alignment horizontal="center" vertical="center" wrapText="1"/>
    </xf>
    <xf numFmtId="0" fontId="5" fillId="25" borderId="32" xfId="0" applyFont="1" applyFill="1" applyBorder="1" applyAlignment="1">
      <alignment horizontal="center" vertical="center" wrapText="1"/>
    </xf>
    <xf numFmtId="0" fontId="5" fillId="25" borderId="19" xfId="0" applyFont="1" applyFill="1" applyBorder="1" applyAlignment="1">
      <alignment horizontal="center" vertical="center" wrapText="1"/>
    </xf>
    <xf numFmtId="0" fontId="5" fillId="18" borderId="53" xfId="0" applyFont="1" applyFill="1" applyBorder="1" applyAlignment="1">
      <alignment horizontal="center" vertical="center" wrapText="1"/>
    </xf>
    <xf numFmtId="0" fontId="5" fillId="18" borderId="41" xfId="0" applyFont="1" applyFill="1" applyBorder="1" applyAlignment="1">
      <alignment horizontal="center" vertical="center" wrapText="1"/>
    </xf>
    <xf numFmtId="0" fontId="5" fillId="18" borderId="54" xfId="0" applyFont="1" applyFill="1" applyBorder="1" applyAlignment="1">
      <alignment horizontal="center" vertical="center" wrapText="1"/>
    </xf>
    <xf numFmtId="0" fontId="31" fillId="19" borderId="46" xfId="0" applyFont="1" applyFill="1" applyBorder="1" applyAlignment="1">
      <alignment horizontal="center" vertical="center" wrapText="1"/>
    </xf>
    <xf numFmtId="0" fontId="6" fillId="19" borderId="109" xfId="0" applyFont="1" applyFill="1" applyBorder="1" applyAlignment="1">
      <alignment horizontal="center" vertical="center" wrapText="1"/>
    </xf>
    <xf numFmtId="0" fontId="6" fillId="19" borderId="106" xfId="0" applyFont="1" applyFill="1" applyBorder="1" applyAlignment="1">
      <alignment horizontal="center" vertical="center" wrapText="1"/>
    </xf>
    <xf numFmtId="0" fontId="9" fillId="19" borderId="37" xfId="0" applyFont="1" applyFill="1" applyBorder="1" applyAlignment="1">
      <alignment horizontal="center" vertical="center" wrapText="1"/>
    </xf>
    <xf numFmtId="0" fontId="9" fillId="19" borderId="36" xfId="0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center" vertical="center" wrapText="1"/>
    </xf>
    <xf numFmtId="0" fontId="9" fillId="19" borderId="136" xfId="0" applyFont="1" applyFill="1" applyBorder="1" applyAlignment="1">
      <alignment horizontal="center" vertical="center" wrapText="1"/>
    </xf>
    <xf numFmtId="0" fontId="9" fillId="19" borderId="78" xfId="0" applyFont="1" applyFill="1" applyBorder="1" applyAlignment="1">
      <alignment horizontal="center" vertical="center" wrapText="1"/>
    </xf>
    <xf numFmtId="0" fontId="9" fillId="19" borderId="149" xfId="0" applyFont="1" applyFill="1" applyBorder="1" applyAlignment="1">
      <alignment horizontal="center" vertical="center" wrapText="1"/>
    </xf>
    <xf numFmtId="0" fontId="5" fillId="18" borderId="129" xfId="0" applyFont="1" applyFill="1" applyBorder="1" applyAlignment="1">
      <alignment horizontal="center" vertical="center"/>
    </xf>
    <xf numFmtId="0" fontId="4" fillId="9" borderId="35" xfId="0" applyFont="1" applyFill="1" applyBorder="1" applyAlignment="1">
      <alignment horizontal="center" vertical="center" wrapText="1"/>
    </xf>
    <xf numFmtId="0" fontId="4" fillId="9" borderId="37" xfId="0" applyFont="1" applyFill="1" applyBorder="1" applyAlignment="1">
      <alignment horizontal="center" vertical="center" wrapText="1"/>
    </xf>
    <xf numFmtId="0" fontId="4" fillId="9" borderId="36" xfId="0" applyFont="1" applyFill="1" applyBorder="1" applyAlignment="1">
      <alignment horizontal="center" vertical="center" wrapText="1"/>
    </xf>
    <xf numFmtId="0" fontId="4" fillId="9" borderId="80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36" xfId="0" applyFont="1" applyFill="1" applyBorder="1" applyAlignment="1">
      <alignment horizontal="center" vertical="center" wrapText="1"/>
    </xf>
    <xf numFmtId="0" fontId="4" fillId="9" borderId="137" xfId="0" applyFont="1" applyFill="1" applyBorder="1" applyAlignment="1">
      <alignment horizontal="center" vertical="center" wrapText="1"/>
    </xf>
    <xf numFmtId="0" fontId="4" fillId="9" borderId="78" xfId="0" applyFont="1" applyFill="1" applyBorder="1" applyAlignment="1">
      <alignment horizontal="center" vertical="center" wrapText="1"/>
    </xf>
    <xf numFmtId="0" fontId="4" fillId="9" borderId="149" xfId="0" applyFont="1" applyFill="1" applyBorder="1" applyAlignment="1">
      <alignment horizontal="center" vertical="center" wrapText="1"/>
    </xf>
    <xf numFmtId="0" fontId="5" fillId="19" borderId="35" xfId="0" applyFont="1" applyFill="1" applyBorder="1" applyAlignment="1">
      <alignment horizontal="center" vertical="center" wrapText="1"/>
    </xf>
    <xf numFmtId="0" fontId="5" fillId="19" borderId="37" xfId="0" applyFont="1" applyFill="1" applyBorder="1" applyAlignment="1">
      <alignment horizontal="center" vertical="center" wrapText="1"/>
    </xf>
    <xf numFmtId="0" fontId="5" fillId="19" borderId="36" xfId="0" applyFont="1" applyFill="1" applyBorder="1" applyAlignment="1">
      <alignment horizontal="center" vertical="center" wrapText="1"/>
    </xf>
    <xf numFmtId="0" fontId="5" fillId="16" borderId="128" xfId="0" applyFont="1" applyFill="1" applyBorder="1" applyAlignment="1">
      <alignment horizontal="center" vertical="center" wrapText="1"/>
    </xf>
    <xf numFmtId="0" fontId="5" fillId="16" borderId="129" xfId="0" applyFont="1" applyFill="1" applyBorder="1" applyAlignment="1">
      <alignment horizontal="center" vertical="center" wrapText="1"/>
    </xf>
    <xf numFmtId="0" fontId="5" fillId="16" borderId="130" xfId="0" applyFont="1" applyFill="1" applyBorder="1" applyAlignment="1">
      <alignment horizontal="center" vertical="center" wrapText="1"/>
    </xf>
    <xf numFmtId="0" fontId="5" fillId="18" borderId="137" xfId="0" applyFont="1" applyFill="1" applyBorder="1" applyAlignment="1">
      <alignment horizontal="center" vertical="center" wrapText="1"/>
    </xf>
    <xf numFmtId="0" fontId="5" fillId="18" borderId="78" xfId="0" applyFont="1" applyFill="1" applyBorder="1" applyAlignment="1">
      <alignment horizontal="center" vertical="center" wrapText="1"/>
    </xf>
    <xf numFmtId="0" fontId="5" fillId="18" borderId="149" xfId="0" applyFont="1" applyFill="1" applyBorder="1" applyAlignment="1">
      <alignment horizontal="center" vertical="center" wrapText="1"/>
    </xf>
    <xf numFmtId="0" fontId="32" fillId="19" borderId="46" xfId="0" applyFont="1" applyFill="1" applyBorder="1" applyAlignment="1">
      <alignment horizontal="center" vertical="center" wrapText="1"/>
    </xf>
    <xf numFmtId="0" fontId="32" fillId="19" borderId="109" xfId="0" applyFont="1" applyFill="1" applyBorder="1" applyAlignment="1">
      <alignment horizontal="center" vertical="center" wrapText="1"/>
    </xf>
    <xf numFmtId="0" fontId="32" fillId="19" borderId="106" xfId="0" applyFont="1" applyFill="1" applyBorder="1" applyAlignment="1">
      <alignment horizontal="center" vertical="center" wrapText="1"/>
    </xf>
    <xf numFmtId="0" fontId="32" fillId="18" borderId="46" xfId="0" applyFont="1" applyFill="1" applyBorder="1" applyAlignment="1">
      <alignment horizontal="center" vertical="center" wrapText="1"/>
    </xf>
    <xf numFmtId="0" fontId="32" fillId="18" borderId="109" xfId="0" applyFont="1" applyFill="1" applyBorder="1" applyAlignment="1">
      <alignment horizontal="center" vertical="center" wrapText="1"/>
    </xf>
    <xf numFmtId="0" fontId="32" fillId="18" borderId="106" xfId="0" applyFont="1" applyFill="1" applyBorder="1" applyAlignment="1">
      <alignment horizontal="center" vertical="center" wrapText="1"/>
    </xf>
    <xf numFmtId="0" fontId="4" fillId="9" borderId="80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5" fillId="26" borderId="35" xfId="0" applyFont="1" applyFill="1" applyBorder="1" applyAlignment="1">
      <alignment horizontal="center" vertical="center" wrapText="1"/>
    </xf>
    <xf numFmtId="0" fontId="3" fillId="15" borderId="80" xfId="0" applyFont="1" applyFill="1" applyBorder="1" applyAlignment="1"/>
    <xf numFmtId="0" fontId="5" fillId="27" borderId="35" xfId="0" applyFont="1" applyFill="1" applyBorder="1" applyAlignment="1">
      <alignment horizontal="center" vertical="center"/>
    </xf>
    <xf numFmtId="0" fontId="5" fillId="27" borderId="80" xfId="0" applyFont="1" applyFill="1" applyBorder="1" applyAlignment="1">
      <alignment horizontal="center" vertical="center"/>
    </xf>
    <xf numFmtId="0" fontId="5" fillId="2" borderId="46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4" fillId="2" borderId="103" xfId="0" applyFont="1" applyFill="1" applyBorder="1" applyAlignment="1">
      <alignment horizontal="center" vertical="center"/>
    </xf>
    <xf numFmtId="0" fontId="4" fillId="2" borderId="126" xfId="0" applyFont="1" applyFill="1" applyBorder="1" applyAlignment="1">
      <alignment horizontal="center" vertical="center"/>
    </xf>
    <xf numFmtId="0" fontId="4" fillId="2" borderId="170" xfId="0" applyFont="1" applyFill="1" applyBorder="1" applyAlignment="1">
      <alignment horizontal="center" vertical="center"/>
    </xf>
    <xf numFmtId="0" fontId="5" fillId="26" borderId="34" xfId="0" applyFont="1" applyFill="1" applyBorder="1" applyAlignment="1">
      <alignment horizontal="center" vertical="center" wrapText="1"/>
    </xf>
    <xf numFmtId="0" fontId="3" fillId="15" borderId="19" xfId="0" applyFont="1" applyFill="1" applyBorder="1" applyAlignment="1"/>
    <xf numFmtId="0" fontId="2" fillId="2" borderId="1" xfId="0" applyFont="1" applyFill="1" applyBorder="1" applyAlignment="1">
      <alignment horizontal="center" vertical="center"/>
    </xf>
    <xf numFmtId="0" fontId="2" fillId="2" borderId="78" xfId="0" applyFont="1" applyFill="1" applyBorder="1" applyAlignment="1">
      <alignment horizontal="center" vertical="center"/>
    </xf>
    <xf numFmtId="0" fontId="27" fillId="9" borderId="35" xfId="0" applyFont="1" applyFill="1" applyBorder="1" applyAlignment="1">
      <alignment horizontal="center" vertical="center" wrapText="1"/>
    </xf>
    <xf numFmtId="0" fontId="27" fillId="9" borderId="37" xfId="0" applyFont="1" applyFill="1" applyBorder="1" applyAlignment="1">
      <alignment horizontal="center" vertical="center" wrapText="1"/>
    </xf>
    <xf numFmtId="0" fontId="27" fillId="9" borderId="80" xfId="0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center" vertical="center" wrapText="1"/>
    </xf>
    <xf numFmtId="0" fontId="17" fillId="18" borderId="37" xfId="0" applyFont="1" applyFill="1" applyBorder="1" applyAlignment="1">
      <alignment horizontal="center" vertical="center" wrapText="1"/>
    </xf>
    <xf numFmtId="0" fontId="17" fillId="18" borderId="1" xfId="0" applyFont="1" applyFill="1" applyBorder="1" applyAlignment="1">
      <alignment horizontal="center" vertical="center" wrapText="1"/>
    </xf>
    <xf numFmtId="0" fontId="5" fillId="25" borderId="30" xfId="0" applyFont="1" applyFill="1" applyBorder="1" applyAlignment="1">
      <alignment horizontal="center" vertical="center" wrapText="1"/>
    </xf>
    <xf numFmtId="0" fontId="5" fillId="27" borderId="32" xfId="0" applyFont="1" applyFill="1" applyBorder="1" applyAlignment="1">
      <alignment horizontal="center" vertical="center"/>
    </xf>
    <xf numFmtId="0" fontId="3" fillId="16" borderId="32" xfId="0" applyFont="1" applyFill="1" applyBorder="1" applyAlignment="1"/>
    <xf numFmtId="0" fontId="5" fillId="9" borderId="137" xfId="0" applyFont="1" applyFill="1" applyBorder="1" applyAlignment="1">
      <alignment horizontal="center" vertical="center"/>
    </xf>
    <xf numFmtId="0" fontId="5" fillId="9" borderId="78" xfId="0" applyFont="1" applyFill="1" applyBorder="1" applyAlignment="1">
      <alignment horizontal="center" vertical="center"/>
    </xf>
    <xf numFmtId="0" fontId="5" fillId="25" borderId="35" xfId="0" applyFont="1" applyFill="1" applyBorder="1" applyAlignment="1">
      <alignment horizontal="center" vertical="center" wrapText="1"/>
    </xf>
    <xf numFmtId="0" fontId="5" fillId="25" borderId="80" xfId="0" applyFont="1" applyFill="1" applyBorder="1" applyAlignment="1">
      <alignment horizontal="center" vertical="center" wrapText="1"/>
    </xf>
    <xf numFmtId="0" fontId="5" fillId="25" borderId="137" xfId="0" applyFont="1" applyFill="1" applyBorder="1" applyAlignment="1">
      <alignment horizontal="center" vertical="center" wrapText="1"/>
    </xf>
    <xf numFmtId="0" fontId="5" fillId="9" borderId="149" xfId="0" applyFont="1" applyFill="1" applyBorder="1" applyAlignment="1">
      <alignment horizontal="center" vertical="center"/>
    </xf>
    <xf numFmtId="0" fontId="5" fillId="28" borderId="35" xfId="0" applyFont="1" applyFill="1" applyBorder="1" applyAlignment="1">
      <alignment horizontal="center" vertical="center" wrapText="1"/>
    </xf>
    <xf numFmtId="0" fontId="5" fillId="28" borderId="80" xfId="0" applyFont="1" applyFill="1" applyBorder="1" applyAlignment="1">
      <alignment horizontal="center" vertical="center" wrapText="1"/>
    </xf>
    <xf numFmtId="0" fontId="5" fillId="9" borderId="128" xfId="0" applyFont="1" applyFill="1" applyBorder="1" applyAlignment="1">
      <alignment horizontal="center" vertical="center"/>
    </xf>
    <xf numFmtId="0" fontId="5" fillId="9" borderId="129" xfId="0" applyFont="1" applyFill="1" applyBorder="1" applyAlignment="1">
      <alignment horizontal="center" vertical="center"/>
    </xf>
    <xf numFmtId="0" fontId="5" fillId="9" borderId="130" xfId="0" applyFont="1" applyFill="1" applyBorder="1" applyAlignment="1">
      <alignment horizontal="center" vertical="center"/>
    </xf>
    <xf numFmtId="0" fontId="5" fillId="10" borderId="96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21" fillId="2" borderId="137" xfId="0" applyFont="1" applyFill="1" applyBorder="1" applyAlignment="1">
      <alignment horizontal="center" vertical="center" wrapText="1"/>
    </xf>
    <xf numFmtId="0" fontId="21" fillId="2" borderId="78" xfId="0" applyFont="1" applyFill="1" applyBorder="1" applyAlignment="1">
      <alignment horizontal="center" vertical="center" wrapText="1"/>
    </xf>
    <xf numFmtId="0" fontId="21" fillId="2" borderId="149" xfId="0" applyFont="1" applyFill="1" applyBorder="1" applyAlignment="1">
      <alignment horizontal="center" vertical="center" wrapText="1"/>
    </xf>
    <xf numFmtId="0" fontId="9" fillId="9" borderId="35" xfId="0" applyFont="1" applyFill="1" applyBorder="1" applyAlignment="1">
      <alignment horizontal="center" vertical="center" wrapText="1"/>
    </xf>
    <xf numFmtId="0" fontId="9" fillId="9" borderId="37" xfId="0" applyFont="1" applyFill="1" applyBorder="1" applyAlignment="1">
      <alignment horizontal="center" vertical="center" wrapText="1"/>
    </xf>
    <xf numFmtId="0" fontId="9" fillId="9" borderId="36" xfId="0" applyFont="1" applyFill="1" applyBorder="1" applyAlignment="1">
      <alignment horizontal="center" vertical="center" wrapText="1"/>
    </xf>
    <xf numFmtId="0" fontId="3" fillId="0" borderId="1" xfId="0" applyFont="1" applyBorder="1" applyAlignment="1"/>
    <xf numFmtId="0" fontId="28" fillId="30" borderId="35" xfId="0" applyFont="1" applyFill="1" applyBorder="1" applyAlignment="1">
      <alignment horizontal="center" vertical="center" wrapText="1"/>
    </xf>
    <xf numFmtId="0" fontId="28" fillId="30" borderId="37" xfId="0" applyFont="1" applyFill="1" applyBorder="1" applyAlignment="1">
      <alignment horizontal="center" vertical="center" wrapText="1"/>
    </xf>
    <xf numFmtId="0" fontId="28" fillId="30" borderId="36" xfId="0" applyFont="1" applyFill="1" applyBorder="1" applyAlignment="1">
      <alignment horizontal="center" vertical="center" wrapText="1"/>
    </xf>
    <xf numFmtId="0" fontId="9" fillId="19" borderId="35" xfId="0" applyFont="1" applyFill="1" applyBorder="1" applyAlignment="1">
      <alignment horizontal="center" vertical="center" wrapText="1"/>
    </xf>
    <xf numFmtId="0" fontId="5" fillId="9" borderId="172" xfId="0" applyFont="1" applyFill="1" applyBorder="1" applyAlignment="1">
      <alignment horizontal="center" vertical="center"/>
    </xf>
    <xf numFmtId="0" fontId="4" fillId="2" borderId="194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4" fillId="2" borderId="173" xfId="0" applyFont="1" applyFill="1" applyBorder="1" applyAlignment="1">
      <alignment horizontal="center" vertical="center"/>
    </xf>
    <xf numFmtId="0" fontId="4" fillId="2" borderId="174" xfId="0" applyFont="1" applyFill="1" applyBorder="1" applyAlignment="1">
      <alignment horizontal="center" vertical="center"/>
    </xf>
    <xf numFmtId="0" fontId="6" fillId="2" borderId="103" xfId="0" applyFont="1" applyFill="1" applyBorder="1" applyAlignment="1">
      <alignment horizontal="center" vertical="center"/>
    </xf>
    <xf numFmtId="0" fontId="6" fillId="2" borderId="104" xfId="0" applyFont="1" applyFill="1" applyBorder="1" applyAlignment="1">
      <alignment horizontal="center" vertical="center"/>
    </xf>
    <xf numFmtId="0" fontId="5" fillId="2" borderId="17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5" fillId="2" borderId="35" xfId="0" applyFont="1" applyFill="1" applyBorder="1" applyAlignment="1">
      <alignment horizontal="center" vertical="center"/>
    </xf>
    <xf numFmtId="0" fontId="15" fillId="2" borderId="37" xfId="0" applyFont="1" applyFill="1" applyBorder="1" applyAlignment="1">
      <alignment horizontal="center" vertical="center"/>
    </xf>
    <xf numFmtId="0" fontId="15" fillId="2" borderId="36" xfId="0" applyFont="1" applyFill="1" applyBorder="1" applyAlignment="1">
      <alignment horizontal="center" vertical="center"/>
    </xf>
    <xf numFmtId="0" fontId="15" fillId="2" borderId="80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136" xfId="0" applyFont="1" applyFill="1" applyBorder="1" applyAlignment="1">
      <alignment horizontal="center" vertical="center"/>
    </xf>
    <xf numFmtId="0" fontId="4" fillId="9" borderId="35" xfId="0" applyFont="1" applyFill="1" applyBorder="1" applyAlignment="1">
      <alignment horizontal="center" vertical="center"/>
    </xf>
    <xf numFmtId="0" fontId="4" fillId="9" borderId="37" xfId="0" applyFont="1" applyFill="1" applyBorder="1" applyAlignment="1">
      <alignment horizontal="center" vertical="center"/>
    </xf>
    <xf numFmtId="0" fontId="5" fillId="2" borderId="96" xfId="0" applyFont="1" applyFill="1" applyBorder="1" applyAlignment="1">
      <alignment horizontal="center" vertical="center"/>
    </xf>
    <xf numFmtId="0" fontId="19" fillId="9" borderId="37" xfId="0" applyFont="1" applyFill="1" applyBorder="1" applyAlignment="1">
      <alignment horizontal="center" vertical="center" wrapText="1"/>
    </xf>
    <xf numFmtId="0" fontId="19" fillId="9" borderId="36" xfId="0" applyFont="1" applyFill="1" applyBorder="1" applyAlignment="1">
      <alignment horizontal="center" vertical="center" wrapText="1"/>
    </xf>
    <xf numFmtId="0" fontId="19" fillId="9" borderId="78" xfId="0" applyFont="1" applyFill="1" applyBorder="1" applyAlignment="1">
      <alignment horizontal="center" vertical="center" wrapText="1"/>
    </xf>
    <xf numFmtId="0" fontId="19" fillId="9" borderId="149" xfId="0" applyFont="1" applyFill="1" applyBorder="1" applyAlignment="1">
      <alignment horizontal="center" vertical="center" wrapText="1"/>
    </xf>
    <xf numFmtId="0" fontId="26" fillId="9" borderId="35" xfId="0" applyFont="1" applyFill="1" applyBorder="1" applyAlignment="1">
      <alignment horizontal="center" vertical="center" wrapText="1"/>
    </xf>
    <xf numFmtId="0" fontId="26" fillId="9" borderId="37" xfId="0" applyFont="1" applyFill="1" applyBorder="1" applyAlignment="1">
      <alignment horizontal="center" vertical="center" wrapText="1"/>
    </xf>
    <xf numFmtId="0" fontId="26" fillId="9" borderId="36" xfId="0" applyFont="1" applyFill="1" applyBorder="1" applyAlignment="1">
      <alignment horizontal="center" vertical="center" wrapText="1"/>
    </xf>
    <xf numFmtId="0" fontId="26" fillId="9" borderId="137" xfId="0" applyFont="1" applyFill="1" applyBorder="1" applyAlignment="1">
      <alignment horizontal="center" vertical="center" wrapText="1"/>
    </xf>
    <xf numFmtId="0" fontId="26" fillId="9" borderId="78" xfId="0" applyFont="1" applyFill="1" applyBorder="1" applyAlignment="1">
      <alignment horizontal="center" vertical="center" wrapText="1"/>
    </xf>
    <xf numFmtId="0" fontId="26" fillId="9" borderId="149" xfId="0" applyFont="1" applyFill="1" applyBorder="1" applyAlignment="1">
      <alignment horizontal="center" vertical="center" wrapText="1"/>
    </xf>
    <xf numFmtId="0" fontId="9" fillId="9" borderId="35" xfId="0" applyFont="1" applyFill="1" applyBorder="1" applyAlignment="1">
      <alignment horizontal="center" vertical="center"/>
    </xf>
    <xf numFmtId="0" fontId="9" fillId="9" borderId="37" xfId="0" applyFont="1" applyFill="1" applyBorder="1" applyAlignment="1">
      <alignment horizontal="center" vertical="center"/>
    </xf>
    <xf numFmtId="0" fontId="9" fillId="9" borderId="36" xfId="0" applyFont="1" applyFill="1" applyBorder="1" applyAlignment="1">
      <alignment horizontal="center" vertical="center"/>
    </xf>
    <xf numFmtId="0" fontId="5" fillId="9" borderId="35" xfId="0" applyFont="1" applyFill="1" applyBorder="1" applyAlignment="1">
      <alignment horizontal="center" vertical="center"/>
    </xf>
    <xf numFmtId="0" fontId="5" fillId="9" borderId="37" xfId="0" applyFont="1" applyFill="1" applyBorder="1" applyAlignment="1">
      <alignment horizontal="center" vertical="center"/>
    </xf>
    <xf numFmtId="0" fontId="5" fillId="9" borderId="36" xfId="0" applyFont="1" applyFill="1" applyBorder="1" applyAlignment="1">
      <alignment horizontal="center" vertical="center"/>
    </xf>
    <xf numFmtId="0" fontId="9" fillId="16" borderId="35" xfId="0" applyFont="1" applyFill="1" applyBorder="1" applyAlignment="1">
      <alignment horizontal="center" vertical="center"/>
    </xf>
    <xf numFmtId="0" fontId="9" fillId="16" borderId="37" xfId="0" applyFont="1" applyFill="1" applyBorder="1" applyAlignment="1">
      <alignment horizontal="center" vertical="center"/>
    </xf>
    <xf numFmtId="0" fontId="9" fillId="16" borderId="80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5" fillId="9" borderId="105" xfId="0" applyFont="1" applyFill="1" applyBorder="1" applyAlignment="1">
      <alignment horizontal="center" vertical="center"/>
    </xf>
    <xf numFmtId="0" fontId="5" fillId="9" borderId="110" xfId="0" applyFont="1" applyFill="1" applyBorder="1" applyAlignment="1">
      <alignment horizontal="center" vertical="center"/>
    </xf>
    <xf numFmtId="0" fontId="5" fillId="9" borderId="121" xfId="0" applyFont="1" applyFill="1" applyBorder="1" applyAlignment="1">
      <alignment horizontal="center" vertical="center"/>
    </xf>
    <xf numFmtId="0" fontId="9" fillId="9" borderId="105" xfId="0" applyFont="1" applyFill="1" applyBorder="1" applyAlignment="1">
      <alignment horizontal="center" vertical="center"/>
    </xf>
    <xf numFmtId="0" fontId="9" fillId="9" borderId="110" xfId="0" applyFont="1" applyFill="1" applyBorder="1" applyAlignment="1">
      <alignment horizontal="center" vertical="center"/>
    </xf>
    <xf numFmtId="0" fontId="9" fillId="9" borderId="121" xfId="0" applyFont="1" applyFill="1" applyBorder="1" applyAlignment="1">
      <alignment horizontal="center" vertical="center"/>
    </xf>
    <xf numFmtId="0" fontId="9" fillId="9" borderId="135" xfId="0" applyFont="1" applyFill="1" applyBorder="1" applyAlignment="1">
      <alignment horizontal="center" vertical="center"/>
    </xf>
    <xf numFmtId="0" fontId="9" fillId="21" borderId="128" xfId="0" applyFont="1" applyFill="1" applyBorder="1" applyAlignment="1">
      <alignment horizontal="center" vertical="center"/>
    </xf>
    <xf numFmtId="0" fontId="9" fillId="21" borderId="129" xfId="0" applyFont="1" applyFill="1" applyBorder="1" applyAlignment="1">
      <alignment horizontal="center" vertical="center"/>
    </xf>
    <xf numFmtId="0" fontId="9" fillId="21" borderId="130" xfId="0" applyFont="1" applyFill="1" applyBorder="1" applyAlignment="1">
      <alignment horizontal="center" vertical="center"/>
    </xf>
    <xf numFmtId="0" fontId="13" fillId="15" borderId="35" xfId="0" applyFont="1" applyFill="1" applyBorder="1" applyAlignment="1">
      <alignment horizontal="center" vertical="center" wrapText="1"/>
    </xf>
    <xf numFmtId="0" fontId="13" fillId="15" borderId="37" xfId="0" applyFont="1" applyFill="1" applyBorder="1" applyAlignment="1">
      <alignment horizontal="center" vertical="center" wrapText="1"/>
    </xf>
    <xf numFmtId="0" fontId="13" fillId="15" borderId="36" xfId="0" applyFont="1" applyFill="1" applyBorder="1" applyAlignment="1">
      <alignment horizontal="center" vertical="center" wrapText="1"/>
    </xf>
    <xf numFmtId="0" fontId="0" fillId="0" borderId="137" xfId="0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149" xfId="0" applyBorder="1" applyAlignment="1">
      <alignment horizontal="center"/>
    </xf>
    <xf numFmtId="0" fontId="0" fillId="0" borderId="128" xfId="0" applyBorder="1" applyAlignment="1">
      <alignment horizontal="center"/>
    </xf>
    <xf numFmtId="0" fontId="0" fillId="0" borderId="129" xfId="0" applyBorder="1" applyAlignment="1">
      <alignment horizontal="center"/>
    </xf>
    <xf numFmtId="0" fontId="0" fillId="0" borderId="130" xfId="0" applyBorder="1" applyAlignment="1">
      <alignment horizontal="center"/>
    </xf>
    <xf numFmtId="0" fontId="9" fillId="2" borderId="35" xfId="0" applyFont="1" applyFill="1" applyBorder="1" applyAlignment="1">
      <alignment horizontal="center" vertical="center"/>
    </xf>
    <xf numFmtId="0" fontId="9" fillId="2" borderId="37" xfId="0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9" fillId="9" borderId="80" xfId="0" applyFont="1" applyFill="1" applyBorder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4" fillId="2" borderId="204" xfId="0" applyFont="1" applyFill="1" applyBorder="1" applyAlignment="1">
      <alignment horizontal="center" vertical="center"/>
    </xf>
    <xf numFmtId="0" fontId="4" fillId="2" borderId="78" xfId="0" applyFont="1" applyFill="1" applyBorder="1" applyAlignment="1">
      <alignment horizontal="center" vertical="center"/>
    </xf>
    <xf numFmtId="0" fontId="4" fillId="2" borderId="172" xfId="0" applyFont="1" applyFill="1" applyBorder="1" applyAlignment="1">
      <alignment horizontal="center" vertical="center"/>
    </xf>
    <xf numFmtId="0" fontId="9" fillId="2" borderId="204" xfId="0" applyFont="1" applyFill="1" applyBorder="1" applyAlignment="1">
      <alignment horizontal="center" vertical="center"/>
    </xf>
    <xf numFmtId="0" fontId="9" fillId="2" borderId="78" xfId="0" applyFont="1" applyFill="1" applyBorder="1" applyAlignment="1">
      <alignment horizontal="center" vertical="center"/>
    </xf>
    <xf numFmtId="0" fontId="9" fillId="2" borderId="149" xfId="0" applyFont="1" applyFill="1" applyBorder="1" applyAlignment="1">
      <alignment horizontal="center" vertical="center"/>
    </xf>
    <xf numFmtId="0" fontId="9" fillId="9" borderId="128" xfId="0" applyFont="1" applyFill="1" applyBorder="1" applyAlignment="1">
      <alignment horizontal="center" vertical="center"/>
    </xf>
    <xf numFmtId="0" fontId="9" fillId="9" borderId="129" xfId="0" applyFont="1" applyFill="1" applyBorder="1" applyAlignment="1">
      <alignment horizontal="center" vertical="center"/>
    </xf>
    <xf numFmtId="0" fontId="9" fillId="9" borderId="169" xfId="0" applyFont="1" applyFill="1" applyBorder="1" applyAlignment="1">
      <alignment horizontal="center" vertical="center"/>
    </xf>
    <xf numFmtId="0" fontId="9" fillId="2" borderId="36" xfId="0" applyFont="1" applyFill="1" applyBorder="1" applyAlignment="1">
      <alignment horizontal="center" vertical="center"/>
    </xf>
    <xf numFmtId="0" fontId="9" fillId="2" borderId="193" xfId="0" applyFont="1" applyFill="1" applyBorder="1" applyAlignment="1">
      <alignment horizontal="center" vertical="center"/>
    </xf>
    <xf numFmtId="0" fontId="19" fillId="2" borderId="35" xfId="0" applyFont="1" applyFill="1" applyBorder="1" applyAlignment="1">
      <alignment horizontal="center" vertical="center"/>
    </xf>
    <xf numFmtId="0" fontId="19" fillId="2" borderId="37" xfId="0" applyFont="1" applyFill="1" applyBorder="1" applyAlignment="1">
      <alignment horizontal="center" vertical="center"/>
    </xf>
    <xf numFmtId="0" fontId="19" fillId="2" borderId="3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/>
    <xf numFmtId="0" fontId="5" fillId="9" borderId="80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82" xfId="0" applyFont="1" applyFill="1" applyBorder="1" applyAlignment="1">
      <alignment horizontal="center" vertical="center"/>
    </xf>
    <xf numFmtId="0" fontId="5" fillId="2" borderId="163" xfId="0" applyFont="1" applyFill="1" applyBorder="1" applyAlignment="1">
      <alignment horizontal="center" vertical="center"/>
    </xf>
    <xf numFmtId="0" fontId="5" fillId="2" borderId="129" xfId="0" applyFont="1" applyFill="1" applyBorder="1" applyAlignment="1">
      <alignment horizontal="center" vertical="center"/>
    </xf>
    <xf numFmtId="0" fontId="5" fillId="2" borderId="130" xfId="0" applyFont="1" applyFill="1" applyBorder="1" applyAlignment="1">
      <alignment horizontal="center" vertical="center"/>
    </xf>
    <xf numFmtId="0" fontId="9" fillId="2" borderId="176" xfId="0" applyFont="1" applyFill="1" applyBorder="1" applyAlignment="1">
      <alignment horizontal="center" vertical="center"/>
    </xf>
    <xf numFmtId="0" fontId="9" fillId="2" borderId="174" xfId="0" applyFont="1" applyFill="1" applyBorder="1" applyAlignment="1">
      <alignment horizontal="center" vertical="center"/>
    </xf>
    <xf numFmtId="0" fontId="9" fillId="2" borderId="177" xfId="0" applyFont="1" applyFill="1" applyBorder="1" applyAlignment="1">
      <alignment horizontal="center" vertical="center"/>
    </xf>
    <xf numFmtId="0" fontId="9" fillId="2" borderId="175" xfId="0" applyFont="1" applyFill="1" applyBorder="1" applyAlignment="1">
      <alignment horizontal="center" vertical="center"/>
    </xf>
    <xf numFmtId="0" fontId="9" fillId="2" borderId="129" xfId="0" applyFont="1" applyFill="1" applyBorder="1" applyAlignment="1">
      <alignment horizontal="center" vertical="center"/>
    </xf>
    <xf numFmtId="0" fontId="9" fillId="2" borderId="169" xfId="0" applyFont="1" applyFill="1" applyBorder="1" applyAlignment="1">
      <alignment horizontal="center" vertical="center"/>
    </xf>
    <xf numFmtId="0" fontId="20" fillId="16" borderId="1" xfId="0" applyFont="1" applyFill="1" applyBorder="1" applyAlignment="1">
      <alignment horizontal="center" vertical="center" wrapText="1"/>
    </xf>
    <xf numFmtId="0" fontId="0" fillId="30" borderId="128" xfId="0" applyFill="1" applyBorder="1" applyAlignment="1">
      <alignment horizontal="center"/>
    </xf>
    <xf numFmtId="0" fontId="0" fillId="30" borderId="129" xfId="0" applyFill="1" applyBorder="1" applyAlignment="1">
      <alignment horizontal="center"/>
    </xf>
    <xf numFmtId="0" fontId="0" fillId="30" borderId="130" xfId="0" applyFill="1" applyBorder="1" applyAlignment="1">
      <alignment horizontal="center"/>
    </xf>
    <xf numFmtId="0" fontId="5" fillId="9" borderId="53" xfId="0" applyFont="1" applyFill="1" applyBorder="1" applyAlignment="1">
      <alignment horizontal="center" vertical="center"/>
    </xf>
    <xf numFmtId="0" fontId="5" fillId="9" borderId="41" xfId="0" applyFont="1" applyFill="1" applyBorder="1" applyAlignment="1">
      <alignment horizontal="center" vertical="center"/>
    </xf>
    <xf numFmtId="0" fontId="5" fillId="9" borderId="54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5" fillId="16" borderId="30" xfId="0" applyFont="1" applyFill="1" applyBorder="1" applyAlignment="1">
      <alignment horizontal="center" vertical="center"/>
    </xf>
    <xf numFmtId="0" fontId="5" fillId="16" borderId="19" xfId="0" applyFont="1" applyFill="1" applyBorder="1" applyAlignment="1">
      <alignment horizontal="center" vertical="center"/>
    </xf>
    <xf numFmtId="0" fontId="31" fillId="9" borderId="35" xfId="0" applyFont="1" applyFill="1" applyBorder="1" applyAlignment="1">
      <alignment horizontal="center" vertical="center" wrapText="1"/>
    </xf>
    <xf numFmtId="0" fontId="31" fillId="9" borderId="37" xfId="0" applyFont="1" applyFill="1" applyBorder="1" applyAlignment="1">
      <alignment horizontal="center" vertical="center" wrapText="1"/>
    </xf>
    <xf numFmtId="0" fontId="31" fillId="9" borderId="36" xfId="0" applyFont="1" applyFill="1" applyBorder="1" applyAlignment="1">
      <alignment horizontal="center" vertical="center" wrapText="1"/>
    </xf>
    <xf numFmtId="0" fontId="31" fillId="9" borderId="128" xfId="0" applyFont="1" applyFill="1" applyBorder="1" applyAlignment="1">
      <alignment horizontal="center" vertical="center" wrapText="1"/>
    </xf>
    <xf numFmtId="0" fontId="31" fillId="9" borderId="129" xfId="0" applyFont="1" applyFill="1" applyBorder="1" applyAlignment="1">
      <alignment horizontal="center" vertical="center" wrapText="1"/>
    </xf>
    <xf numFmtId="0" fontId="31" fillId="9" borderId="130" xfId="0" applyFont="1" applyFill="1" applyBorder="1" applyAlignment="1">
      <alignment horizontal="center" vertical="center" wrapText="1"/>
    </xf>
    <xf numFmtId="0" fontId="6" fillId="2" borderId="46" xfId="0" applyFont="1" applyFill="1" applyBorder="1" applyAlignment="1">
      <alignment horizontal="center" vertical="center"/>
    </xf>
    <xf numFmtId="0" fontId="6" fillId="2" borderId="106" xfId="0" applyFont="1" applyFill="1" applyBorder="1" applyAlignment="1">
      <alignment horizontal="center" vertical="center"/>
    </xf>
    <xf numFmtId="0" fontId="26" fillId="9" borderId="134" xfId="0" applyFont="1" applyFill="1" applyBorder="1" applyAlignment="1">
      <alignment horizontal="center" vertical="center" wrapText="1"/>
    </xf>
    <xf numFmtId="0" fontId="26" fillId="9" borderId="110" xfId="0" applyFont="1" applyFill="1" applyBorder="1" applyAlignment="1">
      <alignment horizontal="center" vertical="center" wrapText="1"/>
    </xf>
    <xf numFmtId="0" fontId="36" fillId="18" borderId="35" xfId="0" applyFont="1" applyFill="1" applyBorder="1" applyAlignment="1">
      <alignment horizontal="center" vertical="center" wrapText="1"/>
    </xf>
    <xf numFmtId="0" fontId="36" fillId="18" borderId="37" xfId="0" applyFont="1" applyFill="1" applyBorder="1" applyAlignment="1">
      <alignment horizontal="center" vertical="center" wrapText="1"/>
    </xf>
    <xf numFmtId="0" fontId="36" fillId="18" borderId="134" xfId="0" applyFont="1" applyFill="1" applyBorder="1" applyAlignment="1">
      <alignment horizontal="center" vertical="center" wrapText="1"/>
    </xf>
    <xf numFmtId="0" fontId="36" fillId="18" borderId="110" xfId="0" applyFont="1" applyFill="1" applyBorder="1" applyAlignment="1">
      <alignment horizontal="center" vertical="center" wrapText="1"/>
    </xf>
    <xf numFmtId="0" fontId="26" fillId="9" borderId="135" xfId="0" applyFont="1" applyFill="1" applyBorder="1" applyAlignment="1">
      <alignment horizontal="center" vertical="center" wrapText="1"/>
    </xf>
    <xf numFmtId="0" fontId="5" fillId="9" borderId="134" xfId="0" applyFont="1" applyFill="1" applyBorder="1" applyAlignment="1">
      <alignment horizontal="center" vertical="center"/>
    </xf>
    <xf numFmtId="0" fontId="5" fillId="9" borderId="135" xfId="0" applyFont="1" applyFill="1" applyBorder="1" applyAlignment="1">
      <alignment horizontal="center" vertical="center"/>
    </xf>
    <xf numFmtId="0" fontId="9" fillId="9" borderId="134" xfId="0" applyFont="1" applyFill="1" applyBorder="1" applyAlignment="1">
      <alignment horizontal="center" vertical="center"/>
    </xf>
    <xf numFmtId="0" fontId="9" fillId="9" borderId="137" xfId="0" applyFont="1" applyFill="1" applyBorder="1" applyAlignment="1">
      <alignment horizontal="center" vertical="center"/>
    </xf>
    <xf numFmtId="0" fontId="9" fillId="9" borderId="78" xfId="0" applyFont="1" applyFill="1" applyBorder="1" applyAlignment="1">
      <alignment horizontal="center" vertical="center"/>
    </xf>
    <xf numFmtId="0" fontId="26" fillId="9" borderId="109" xfId="0" applyFont="1" applyFill="1" applyBorder="1" applyAlignment="1">
      <alignment horizontal="center" vertical="center" wrapText="1"/>
    </xf>
    <xf numFmtId="0" fontId="31" fillId="9" borderId="109" xfId="0" applyFont="1" applyFill="1" applyBorder="1" applyAlignment="1">
      <alignment horizontal="center" vertical="center" wrapText="1"/>
    </xf>
    <xf numFmtId="0" fontId="31" fillId="9" borderId="110" xfId="0" applyFont="1" applyFill="1" applyBorder="1" applyAlignment="1">
      <alignment horizontal="center" vertical="center" wrapText="1"/>
    </xf>
    <xf numFmtId="0" fontId="31" fillId="9" borderId="134" xfId="0" applyFont="1" applyFill="1" applyBorder="1" applyAlignment="1">
      <alignment horizontal="center" vertical="center" wrapText="1"/>
    </xf>
    <xf numFmtId="0" fontId="31" fillId="9" borderId="135" xfId="0" applyFont="1" applyFill="1" applyBorder="1" applyAlignment="1">
      <alignment horizontal="center" vertical="center" wrapText="1"/>
    </xf>
    <xf numFmtId="0" fontId="4" fillId="2" borderId="134" xfId="0" applyFont="1" applyFill="1" applyBorder="1" applyAlignment="1">
      <alignment horizontal="center" vertical="center"/>
    </xf>
    <xf numFmtId="0" fontId="4" fillId="2" borderId="110" xfId="0" applyFont="1" applyFill="1" applyBorder="1" applyAlignment="1">
      <alignment horizontal="center" vertical="center"/>
    </xf>
    <xf numFmtId="0" fontId="4" fillId="2" borderId="135" xfId="0" applyFont="1" applyFill="1" applyBorder="1" applyAlignment="1">
      <alignment horizontal="center" vertical="center"/>
    </xf>
    <xf numFmtId="0" fontId="36" fillId="9" borderId="35" xfId="0" applyFont="1" applyFill="1" applyBorder="1" applyAlignment="1">
      <alignment horizontal="center" vertical="center" wrapText="1"/>
    </xf>
    <xf numFmtId="0" fontId="36" fillId="9" borderId="37" xfId="0" applyFont="1" applyFill="1" applyBorder="1" applyAlignment="1">
      <alignment horizontal="center" vertical="center" wrapText="1"/>
    </xf>
    <xf numFmtId="0" fontId="36" fillId="9" borderId="134" xfId="0" applyFont="1" applyFill="1" applyBorder="1" applyAlignment="1">
      <alignment horizontal="center" vertical="center" wrapText="1"/>
    </xf>
    <xf numFmtId="0" fontId="36" fillId="9" borderId="110" xfId="0" applyFont="1" applyFill="1" applyBorder="1" applyAlignment="1">
      <alignment horizontal="center" vertical="center" wrapText="1"/>
    </xf>
    <xf numFmtId="0" fontId="31" fillId="16" borderId="80" xfId="0" applyFont="1" applyFill="1" applyBorder="1" applyAlignment="1">
      <alignment horizontal="center" vertical="center" wrapText="1"/>
    </xf>
    <xf numFmtId="0" fontId="31" fillId="16" borderId="1" xfId="0" applyFont="1" applyFill="1" applyBorder="1" applyAlignment="1">
      <alignment horizontal="center" vertical="center" wrapText="1"/>
    </xf>
    <xf numFmtId="0" fontId="31" fillId="16" borderId="134" xfId="0" applyFont="1" applyFill="1" applyBorder="1" applyAlignment="1">
      <alignment horizontal="center" vertical="center" wrapText="1"/>
    </xf>
    <xf numFmtId="0" fontId="31" fillId="16" borderId="110" xfId="0" applyFont="1" applyFill="1" applyBorder="1" applyAlignment="1">
      <alignment horizontal="center" vertical="center" wrapText="1"/>
    </xf>
    <xf numFmtId="0" fontId="31" fillId="18" borderId="35" xfId="0" applyFont="1" applyFill="1" applyBorder="1" applyAlignment="1">
      <alignment horizontal="center" vertical="center" wrapText="1"/>
    </xf>
    <xf numFmtId="0" fontId="31" fillId="18" borderId="37" xfId="0" applyFont="1" applyFill="1" applyBorder="1" applyAlignment="1">
      <alignment horizontal="center" vertical="center" wrapText="1"/>
    </xf>
    <xf numFmtId="0" fontId="31" fillId="18" borderId="134" xfId="0" applyFont="1" applyFill="1" applyBorder="1" applyAlignment="1">
      <alignment horizontal="center" vertical="center" wrapText="1"/>
    </xf>
    <xf numFmtId="0" fontId="31" fillId="18" borderId="110" xfId="0" applyFont="1" applyFill="1" applyBorder="1" applyAlignment="1">
      <alignment horizontal="center" vertical="center" wrapText="1"/>
    </xf>
    <xf numFmtId="0" fontId="5" fillId="35" borderId="35" xfId="0" applyFont="1" applyFill="1" applyBorder="1" applyAlignment="1">
      <alignment horizontal="center" vertical="center" wrapText="1"/>
    </xf>
    <xf numFmtId="0" fontId="5" fillId="35" borderId="80" xfId="0" applyFont="1" applyFill="1" applyBorder="1" applyAlignment="1">
      <alignment horizontal="center" vertical="center" wrapText="1"/>
    </xf>
    <xf numFmtId="0" fontId="5" fillId="25" borderId="214" xfId="0" applyFont="1" applyFill="1" applyBorder="1" applyAlignment="1">
      <alignment horizontal="center" vertical="center" wrapText="1"/>
    </xf>
    <xf numFmtId="0" fontId="5" fillId="25" borderId="96" xfId="0" applyFont="1" applyFill="1" applyBorder="1" applyAlignment="1">
      <alignment horizontal="center" vertical="center" wrapText="1"/>
    </xf>
    <xf numFmtId="0" fontId="37" fillId="18" borderId="35" xfId="0" applyFont="1" applyFill="1" applyBorder="1" applyAlignment="1">
      <alignment horizontal="center" vertical="center"/>
    </xf>
    <xf numFmtId="0" fontId="37" fillId="18" borderId="37" xfId="0" applyFont="1" applyFill="1" applyBorder="1" applyAlignment="1">
      <alignment horizontal="center" vertical="center"/>
    </xf>
    <xf numFmtId="0" fontId="37" fillId="18" borderId="36" xfId="0" applyFont="1" applyFill="1" applyBorder="1" applyAlignment="1">
      <alignment horizontal="center" vertical="center"/>
    </xf>
    <xf numFmtId="0" fontId="37" fillId="18" borderId="137" xfId="0" applyFont="1" applyFill="1" applyBorder="1" applyAlignment="1">
      <alignment horizontal="center" vertical="center"/>
    </xf>
    <xf numFmtId="0" fontId="37" fillId="18" borderId="78" xfId="0" applyFont="1" applyFill="1" applyBorder="1" applyAlignment="1">
      <alignment horizontal="center" vertical="center"/>
    </xf>
    <xf numFmtId="0" fontId="37" fillId="18" borderId="149" xfId="0" applyFont="1" applyFill="1" applyBorder="1" applyAlignment="1">
      <alignment horizontal="center" vertical="center"/>
    </xf>
    <xf numFmtId="0" fontId="5" fillId="16" borderId="35" xfId="0" applyFont="1" applyFill="1" applyBorder="1" applyAlignment="1">
      <alignment horizontal="center" vertical="center" wrapText="1"/>
    </xf>
    <xf numFmtId="0" fontId="3" fillId="16" borderId="80" xfId="0" applyFont="1" applyFill="1" applyBorder="1" applyAlignment="1"/>
    <xf numFmtId="0" fontId="5" fillId="16" borderId="32" xfId="0" applyFont="1" applyFill="1" applyBorder="1" applyAlignment="1">
      <alignment horizontal="center" vertical="center"/>
    </xf>
    <xf numFmtId="0" fontId="5" fillId="19" borderId="80" xfId="0" applyFont="1" applyFill="1" applyBorder="1" applyAlignment="1">
      <alignment horizontal="center" vertical="center" wrapText="1"/>
    </xf>
    <xf numFmtId="0" fontId="34" fillId="9" borderId="35" xfId="0" applyFont="1" applyFill="1" applyBorder="1" applyAlignment="1">
      <alignment horizontal="center" vertical="center" wrapText="1"/>
    </xf>
    <xf numFmtId="0" fontId="34" fillId="9" borderId="37" xfId="0" applyFont="1" applyFill="1" applyBorder="1" applyAlignment="1">
      <alignment horizontal="center" vertical="center" wrapText="1"/>
    </xf>
    <xf numFmtId="0" fontId="34" fillId="9" borderId="36" xfId="0" applyFont="1" applyFill="1" applyBorder="1" applyAlignment="1">
      <alignment horizontal="center" vertical="center" wrapText="1"/>
    </xf>
    <xf numFmtId="0" fontId="34" fillId="9" borderId="80" xfId="0" applyFont="1" applyFill="1" applyBorder="1" applyAlignment="1">
      <alignment horizontal="center" vertical="center" wrapText="1"/>
    </xf>
    <xf numFmtId="0" fontId="34" fillId="9" borderId="1" xfId="0" applyFont="1" applyFill="1" applyBorder="1" applyAlignment="1">
      <alignment horizontal="center" vertical="center" wrapText="1"/>
    </xf>
    <xf numFmtId="0" fontId="34" fillId="9" borderId="136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0" fontId="26" fillId="9" borderId="1" xfId="0" applyFont="1" applyFill="1" applyBorder="1" applyAlignment="1">
      <alignment horizontal="center" vertical="center" wrapText="1"/>
    </xf>
    <xf numFmtId="0" fontId="26" fillId="9" borderId="80" xfId="0" applyFont="1" applyFill="1" applyBorder="1" applyAlignment="1">
      <alignment horizontal="center" vertical="center" wrapText="1"/>
    </xf>
    <xf numFmtId="0" fontId="26" fillId="9" borderId="136" xfId="0" applyFont="1" applyFill="1" applyBorder="1" applyAlignment="1">
      <alignment horizontal="center" vertical="center" wrapText="1"/>
    </xf>
    <xf numFmtId="0" fontId="0" fillId="19" borderId="128" xfId="0" applyFill="1" applyBorder="1" applyAlignment="1">
      <alignment horizontal="center"/>
    </xf>
    <xf numFmtId="0" fontId="0" fillId="19" borderId="129" xfId="0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6" xfId="0" applyFill="1" applyBorder="1" applyAlignment="1">
      <alignment horizontal="center"/>
    </xf>
    <xf numFmtId="0" fontId="31" fillId="40" borderId="35" xfId="0" applyFont="1" applyFill="1" applyBorder="1" applyAlignment="1">
      <alignment horizontal="center" vertical="center" wrapText="1"/>
    </xf>
    <xf numFmtId="0" fontId="31" fillId="40" borderId="37" xfId="0" applyFont="1" applyFill="1" applyBorder="1" applyAlignment="1">
      <alignment horizontal="center" vertical="center" wrapText="1"/>
    </xf>
    <xf numFmtId="0" fontId="31" fillId="40" borderId="137" xfId="0" applyFont="1" applyFill="1" applyBorder="1" applyAlignment="1">
      <alignment horizontal="center" vertical="center" wrapText="1"/>
    </xf>
    <xf numFmtId="0" fontId="31" fillId="40" borderId="78" xfId="0" applyFont="1" applyFill="1" applyBorder="1" applyAlignment="1">
      <alignment horizontal="center" vertical="center" wrapText="1"/>
    </xf>
    <xf numFmtId="0" fontId="31" fillId="23" borderId="35" xfId="0" applyFont="1" applyFill="1" applyBorder="1" applyAlignment="1">
      <alignment horizontal="center" vertical="center" wrapText="1"/>
    </xf>
    <xf numFmtId="0" fontId="31" fillId="23" borderId="37" xfId="0" applyFont="1" applyFill="1" applyBorder="1" applyAlignment="1">
      <alignment horizontal="center" vertical="center" wrapText="1"/>
    </xf>
    <xf numFmtId="0" fontId="31" fillId="23" borderId="36" xfId="0" applyFont="1" applyFill="1" applyBorder="1" applyAlignment="1">
      <alignment horizontal="center" vertical="center" wrapText="1"/>
    </xf>
    <xf numFmtId="0" fontId="31" fillId="23" borderId="137" xfId="0" applyFont="1" applyFill="1" applyBorder="1" applyAlignment="1">
      <alignment horizontal="center" vertical="center" wrapText="1"/>
    </xf>
    <xf numFmtId="0" fontId="31" fillId="23" borderId="78" xfId="0" applyFont="1" applyFill="1" applyBorder="1" applyAlignment="1">
      <alignment horizontal="center" vertical="center" wrapText="1"/>
    </xf>
    <xf numFmtId="0" fontId="31" fillId="23" borderId="149" xfId="0" applyFont="1" applyFill="1" applyBorder="1" applyAlignment="1">
      <alignment horizontal="center" vertical="center" wrapText="1"/>
    </xf>
    <xf numFmtId="0" fontId="31" fillId="16" borderId="137" xfId="0" applyFont="1" applyFill="1" applyBorder="1" applyAlignment="1">
      <alignment horizontal="center" vertical="center" wrapText="1"/>
    </xf>
    <xf numFmtId="0" fontId="31" fillId="16" borderId="78" xfId="0" applyFont="1" applyFill="1" applyBorder="1" applyAlignment="1">
      <alignment horizontal="center" vertical="center" wrapText="1"/>
    </xf>
    <xf numFmtId="0" fontId="31" fillId="16" borderId="149" xfId="0" applyFont="1" applyFill="1" applyBorder="1" applyAlignment="1">
      <alignment horizontal="center" vertical="center" wrapText="1"/>
    </xf>
    <xf numFmtId="0" fontId="19" fillId="9" borderId="138" xfId="0" applyFont="1" applyFill="1" applyBorder="1" applyAlignment="1">
      <alignment horizontal="center" vertical="center"/>
    </xf>
    <xf numFmtId="0" fontId="19" fillId="9" borderId="109" xfId="0" applyFont="1" applyFill="1" applyBorder="1" applyAlignment="1">
      <alignment horizontal="center" vertical="center"/>
    </xf>
    <xf numFmtId="0" fontId="9" fillId="9" borderId="136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5" fillId="9" borderId="144" xfId="0" applyFont="1" applyFill="1" applyBorder="1" applyAlignment="1">
      <alignment horizontal="center" vertical="center"/>
    </xf>
    <xf numFmtId="0" fontId="5" fillId="9" borderId="145" xfId="0" applyFont="1" applyFill="1" applyBorder="1" applyAlignment="1">
      <alignment horizontal="center" vertical="center"/>
    </xf>
    <xf numFmtId="0" fontId="5" fillId="9" borderId="147" xfId="0" applyFont="1" applyFill="1" applyBorder="1" applyAlignment="1">
      <alignment horizontal="center" vertical="center"/>
    </xf>
    <xf numFmtId="0" fontId="34" fillId="9" borderId="134" xfId="0" applyFont="1" applyFill="1" applyBorder="1" applyAlignment="1">
      <alignment horizontal="center" vertical="center" wrapText="1"/>
    </xf>
    <xf numFmtId="0" fontId="34" fillId="9" borderId="110" xfId="0" applyFont="1" applyFill="1" applyBorder="1" applyAlignment="1">
      <alignment horizontal="center" vertical="center" wrapText="1"/>
    </xf>
    <xf numFmtId="0" fontId="31" fillId="30" borderId="35" xfId="0" applyFont="1" applyFill="1" applyBorder="1" applyAlignment="1">
      <alignment horizontal="center" vertical="center" wrapText="1"/>
    </xf>
    <xf numFmtId="0" fontId="31" fillId="30" borderId="37" xfId="0" applyFont="1" applyFill="1" applyBorder="1" applyAlignment="1">
      <alignment horizontal="center" vertical="center" wrapText="1"/>
    </xf>
    <xf numFmtId="0" fontId="31" fillId="30" borderId="137" xfId="0" applyFont="1" applyFill="1" applyBorder="1" applyAlignment="1">
      <alignment horizontal="center" vertical="center" wrapText="1"/>
    </xf>
    <xf numFmtId="0" fontId="31" fillId="30" borderId="78" xfId="0" applyFont="1" applyFill="1" applyBorder="1" applyAlignment="1">
      <alignment horizontal="center" vertical="center" wrapText="1"/>
    </xf>
    <xf numFmtId="0" fontId="4" fillId="9" borderId="36" xfId="0" applyFont="1" applyFill="1" applyBorder="1" applyAlignment="1">
      <alignment horizontal="center" vertical="center"/>
    </xf>
    <xf numFmtId="0" fontId="5" fillId="16" borderId="137" xfId="0" applyFont="1" applyFill="1" applyBorder="1" applyAlignment="1">
      <alignment horizontal="center" vertical="center"/>
    </xf>
    <xf numFmtId="0" fontId="31" fillId="9" borderId="80" xfId="0" applyFont="1" applyFill="1" applyBorder="1" applyAlignment="1">
      <alignment horizontal="center" vertical="center" wrapText="1"/>
    </xf>
    <xf numFmtId="0" fontId="31" fillId="9" borderId="137" xfId="0" applyFont="1" applyFill="1" applyBorder="1" applyAlignment="1">
      <alignment horizontal="center" vertical="center" wrapText="1"/>
    </xf>
    <xf numFmtId="0" fontId="31" fillId="9" borderId="78" xfId="0" applyFont="1" applyFill="1" applyBorder="1" applyAlignment="1">
      <alignment horizontal="center" vertical="center" wrapText="1"/>
    </xf>
    <xf numFmtId="0" fontId="31" fillId="9" borderId="149" xfId="0" applyFont="1" applyFill="1" applyBorder="1" applyAlignment="1">
      <alignment horizontal="center" vertical="center" wrapText="1"/>
    </xf>
    <xf numFmtId="0" fontId="37" fillId="0" borderId="78" xfId="0" applyFont="1" applyBorder="1" applyAlignment="1">
      <alignment horizontal="center"/>
    </xf>
    <xf numFmtId="0" fontId="37" fillId="0" borderId="149" xfId="0" applyFont="1" applyBorder="1" applyAlignment="1">
      <alignment horizontal="center"/>
    </xf>
    <xf numFmtId="0" fontId="38" fillId="0" borderId="53" xfId="0" applyFont="1" applyBorder="1" applyAlignment="1">
      <alignment horizontal="center"/>
    </xf>
    <xf numFmtId="0" fontId="38" fillId="0" borderId="41" xfId="0" applyFont="1" applyBorder="1" applyAlignment="1">
      <alignment horizontal="center"/>
    </xf>
    <xf numFmtId="0" fontId="38" fillId="0" borderId="54" xfId="0" applyFont="1" applyBorder="1" applyAlignment="1">
      <alignment horizontal="center"/>
    </xf>
    <xf numFmtId="0" fontId="31" fillId="13" borderId="37" xfId="0" applyFont="1" applyFill="1" applyBorder="1" applyAlignment="1">
      <alignment horizontal="center" vertical="center" wrapText="1"/>
    </xf>
    <xf numFmtId="0" fontId="31" fillId="23" borderId="129" xfId="0" applyFont="1" applyFill="1" applyBorder="1" applyAlignment="1">
      <alignment horizontal="center" vertical="center" wrapText="1"/>
    </xf>
    <xf numFmtId="0" fontId="31" fillId="23" borderId="130" xfId="0" applyFont="1" applyFill="1" applyBorder="1" applyAlignment="1">
      <alignment horizontal="center" vertical="center" wrapText="1"/>
    </xf>
    <xf numFmtId="0" fontId="31" fillId="23" borderId="128" xfId="0" applyFont="1" applyFill="1" applyBorder="1" applyAlignment="1">
      <alignment horizontal="center" vertical="center" wrapText="1"/>
    </xf>
    <xf numFmtId="0" fontId="31" fillId="18" borderId="128" xfId="0" applyFont="1" applyFill="1" applyBorder="1" applyAlignment="1">
      <alignment horizontal="center" vertical="center" wrapText="1"/>
    </xf>
    <xf numFmtId="0" fontId="31" fillId="18" borderId="129" xfId="0" applyFont="1" applyFill="1" applyBorder="1" applyAlignment="1">
      <alignment horizontal="center" vertical="center" wrapText="1"/>
    </xf>
    <xf numFmtId="0" fontId="31" fillId="18" borderId="130" xfId="0" applyFont="1" applyFill="1" applyBorder="1" applyAlignment="1">
      <alignment horizontal="center" vertical="center" wrapText="1"/>
    </xf>
    <xf numFmtId="0" fontId="9" fillId="9" borderId="180" xfId="0" applyFont="1" applyFill="1" applyBorder="1" applyAlignment="1">
      <alignment horizontal="center" vertical="center"/>
    </xf>
    <xf numFmtId="0" fontId="9" fillId="9" borderId="181" xfId="0" applyFont="1" applyFill="1" applyBorder="1" applyAlignment="1">
      <alignment horizontal="center" vertical="center"/>
    </xf>
    <xf numFmtId="0" fontId="9" fillId="9" borderId="184" xfId="0" applyFont="1" applyFill="1" applyBorder="1" applyAlignment="1">
      <alignment horizontal="center" vertical="center"/>
    </xf>
    <xf numFmtId="0" fontId="43" fillId="0" borderId="30" xfId="0" applyFont="1" applyBorder="1" applyAlignment="1">
      <alignment horizontal="center" vertical="center" wrapText="1"/>
    </xf>
    <xf numFmtId="0" fontId="43" fillId="0" borderId="32" xfId="0" applyFont="1" applyBorder="1" applyAlignment="1">
      <alignment horizontal="center" vertical="center" wrapText="1"/>
    </xf>
    <xf numFmtId="0" fontId="43" fillId="0" borderId="19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18" borderId="128" xfId="0" applyFont="1" applyFill="1" applyBorder="1" applyAlignment="1">
      <alignment horizontal="center" vertical="center"/>
    </xf>
    <xf numFmtId="0" fontId="37" fillId="18" borderId="129" xfId="0" applyFont="1" applyFill="1" applyBorder="1" applyAlignment="1">
      <alignment horizontal="center" vertical="center"/>
    </xf>
    <xf numFmtId="0" fontId="37" fillId="18" borderId="130" xfId="0" applyFont="1" applyFill="1" applyBorder="1" applyAlignment="1">
      <alignment horizontal="center" vertical="center"/>
    </xf>
    <xf numFmtId="0" fontId="5" fillId="9" borderId="204" xfId="0" applyFont="1" applyFill="1" applyBorder="1" applyAlignment="1">
      <alignment horizontal="center" vertical="center"/>
    </xf>
    <xf numFmtId="0" fontId="31" fillId="19" borderId="35" xfId="0" applyFont="1" applyFill="1" applyBorder="1" applyAlignment="1">
      <alignment horizontal="center" vertical="center" wrapText="1"/>
    </xf>
    <xf numFmtId="0" fontId="31" fillId="19" borderId="37" xfId="0" applyFont="1" applyFill="1" applyBorder="1" applyAlignment="1">
      <alignment horizontal="center" vertical="center" wrapText="1"/>
    </xf>
    <xf numFmtId="0" fontId="31" fillId="19" borderId="36" xfId="0" applyFont="1" applyFill="1" applyBorder="1" applyAlignment="1">
      <alignment horizontal="center" vertical="center" wrapText="1"/>
    </xf>
    <xf numFmtId="0" fontId="31" fillId="19" borderId="137" xfId="0" applyFont="1" applyFill="1" applyBorder="1" applyAlignment="1">
      <alignment horizontal="center" vertical="center" wrapText="1"/>
    </xf>
    <xf numFmtId="0" fontId="31" fillId="19" borderId="78" xfId="0" applyFont="1" applyFill="1" applyBorder="1" applyAlignment="1">
      <alignment horizontal="center" vertical="center" wrapText="1"/>
    </xf>
    <xf numFmtId="0" fontId="31" fillId="19" borderId="149" xfId="0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center" vertical="center" wrapText="1"/>
    </xf>
    <xf numFmtId="0" fontId="36" fillId="9" borderId="1" xfId="0" applyFont="1" applyFill="1" applyBorder="1" applyAlignment="1">
      <alignment horizontal="center" vertical="center" wrapText="1"/>
    </xf>
    <xf numFmtId="0" fontId="45" fillId="9" borderId="37" xfId="0" applyFont="1" applyFill="1" applyBorder="1" applyAlignment="1">
      <alignment horizontal="center" vertical="center" wrapText="1"/>
    </xf>
    <xf numFmtId="0" fontId="45" fillId="9" borderId="1" xfId="0" applyFont="1" applyFill="1" applyBorder="1" applyAlignment="1">
      <alignment horizontal="center" vertical="center" wrapText="1"/>
    </xf>
    <xf numFmtId="0" fontId="9" fillId="9" borderId="99" xfId="0" applyFont="1" applyFill="1" applyBorder="1" applyAlignment="1">
      <alignment horizontal="center" vertical="center"/>
    </xf>
    <xf numFmtId="0" fontId="9" fillId="9" borderId="75" xfId="0" applyFont="1" applyFill="1" applyBorder="1" applyAlignment="1">
      <alignment horizontal="center" vertical="center"/>
    </xf>
    <xf numFmtId="0" fontId="9" fillId="9" borderId="100" xfId="0" applyFont="1" applyFill="1" applyBorder="1" applyAlignment="1">
      <alignment horizontal="center" vertical="center"/>
    </xf>
    <xf numFmtId="0" fontId="5" fillId="9" borderId="99" xfId="0" applyFont="1" applyFill="1" applyBorder="1" applyAlignment="1">
      <alignment horizontal="center" vertical="center"/>
    </xf>
    <xf numFmtId="0" fontId="5" fillId="9" borderId="75" xfId="0" applyFont="1" applyFill="1" applyBorder="1" applyAlignment="1">
      <alignment horizontal="center" vertical="center"/>
    </xf>
    <xf numFmtId="0" fontId="5" fillId="9" borderId="100" xfId="0" applyFont="1" applyFill="1" applyBorder="1" applyAlignment="1">
      <alignment horizontal="center" vertical="center"/>
    </xf>
    <xf numFmtId="0" fontId="4" fillId="2" borderId="180" xfId="0" applyFont="1" applyFill="1" applyBorder="1" applyAlignment="1">
      <alignment horizontal="center" vertical="center"/>
    </xf>
    <xf numFmtId="0" fontId="4" fillId="2" borderId="181" xfId="0" applyFont="1" applyFill="1" applyBorder="1" applyAlignment="1">
      <alignment horizontal="center" vertical="center"/>
    </xf>
    <xf numFmtId="0" fontId="4" fillId="2" borderId="184" xfId="0" applyFont="1" applyFill="1" applyBorder="1" applyAlignment="1">
      <alignment horizontal="center" vertical="center"/>
    </xf>
    <xf numFmtId="0" fontId="5" fillId="25" borderId="37" xfId="0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0" fontId="5" fillId="25" borderId="78" xfId="0" applyFont="1" applyFill="1" applyBorder="1" applyAlignment="1">
      <alignment horizontal="center" vertical="center" wrapText="1"/>
    </xf>
    <xf numFmtId="0" fontId="19" fillId="9" borderId="180" xfId="0" applyFont="1" applyFill="1" applyBorder="1" applyAlignment="1">
      <alignment horizontal="center" vertical="center"/>
    </xf>
    <xf numFmtId="0" fontId="19" fillId="9" borderId="181" xfId="0" applyFont="1" applyFill="1" applyBorder="1" applyAlignment="1">
      <alignment horizontal="center" vertical="center"/>
    </xf>
    <xf numFmtId="0" fontId="19" fillId="9" borderId="184" xfId="0" applyFont="1" applyFill="1" applyBorder="1" applyAlignment="1">
      <alignment horizontal="center" vertical="center"/>
    </xf>
    <xf numFmtId="0" fontId="31" fillId="9" borderId="136" xfId="0" applyFont="1" applyFill="1" applyBorder="1" applyAlignment="1">
      <alignment horizontal="center" vertical="center" wrapText="1"/>
    </xf>
    <xf numFmtId="0" fontId="36" fillId="16" borderId="35" xfId="0" applyFont="1" applyFill="1" applyBorder="1" applyAlignment="1">
      <alignment horizontal="center" vertical="center" wrapText="1"/>
    </xf>
    <xf numFmtId="0" fontId="36" fillId="16" borderId="37" xfId="0" applyFont="1" applyFill="1" applyBorder="1" applyAlignment="1">
      <alignment horizontal="center" vertical="center" wrapText="1"/>
    </xf>
    <xf numFmtId="0" fontId="36" fillId="16" borderId="36" xfId="0" applyFont="1" applyFill="1" applyBorder="1" applyAlignment="1">
      <alignment horizontal="center" vertical="center" wrapText="1"/>
    </xf>
    <xf numFmtId="0" fontId="36" fillId="16" borderId="80" xfId="0" applyFont="1" applyFill="1" applyBorder="1" applyAlignment="1">
      <alignment horizontal="center" vertical="center" wrapText="1"/>
    </xf>
    <xf numFmtId="0" fontId="36" fillId="16" borderId="1" xfId="0" applyFont="1" applyFill="1" applyBorder="1" applyAlignment="1">
      <alignment horizontal="center" vertical="center" wrapText="1"/>
    </xf>
    <xf numFmtId="0" fontId="36" fillId="16" borderId="136" xfId="0" applyFont="1" applyFill="1" applyBorder="1" applyAlignment="1">
      <alignment horizontal="center" vertical="center" wrapText="1"/>
    </xf>
    <xf numFmtId="0" fontId="5" fillId="9" borderId="180" xfId="0" applyFont="1" applyFill="1" applyBorder="1" applyAlignment="1">
      <alignment horizontal="center" vertical="center"/>
    </xf>
    <xf numFmtId="0" fontId="5" fillId="9" borderId="181" xfId="0" applyFont="1" applyFill="1" applyBorder="1" applyAlignment="1">
      <alignment horizontal="center" vertical="center"/>
    </xf>
    <xf numFmtId="0" fontId="5" fillId="9" borderId="182" xfId="0" applyFont="1" applyFill="1" applyBorder="1" applyAlignment="1">
      <alignment horizontal="center" vertical="center"/>
    </xf>
    <xf numFmtId="0" fontId="9" fillId="9" borderId="183" xfId="0" applyFont="1" applyFill="1" applyBorder="1" applyAlignment="1">
      <alignment horizontal="center" vertical="center"/>
    </xf>
    <xf numFmtId="0" fontId="31" fillId="16" borderId="37" xfId="0" applyFont="1" applyFill="1" applyBorder="1" applyAlignment="1">
      <alignment horizontal="center" vertical="center" wrapText="1"/>
    </xf>
    <xf numFmtId="0" fontId="31" fillId="16" borderId="36" xfId="0" applyFont="1" applyFill="1" applyBorder="1" applyAlignment="1">
      <alignment horizontal="center" vertical="center" wrapText="1"/>
    </xf>
    <xf numFmtId="0" fontId="31" fillId="16" borderId="136" xfId="0" applyFont="1" applyFill="1" applyBorder="1" applyAlignment="1">
      <alignment horizontal="center" vertical="center" wrapText="1"/>
    </xf>
    <xf numFmtId="0" fontId="5" fillId="16" borderId="30" xfId="0" applyFont="1" applyFill="1" applyBorder="1" applyAlignment="1">
      <alignment horizontal="center" vertical="center" wrapText="1"/>
    </xf>
    <xf numFmtId="0" fontId="3" fillId="16" borderId="19" xfId="0" applyFont="1" applyFill="1" applyBorder="1" applyAlignment="1"/>
    <xf numFmtId="0" fontId="36" fillId="9" borderId="36" xfId="0" applyFont="1" applyFill="1" applyBorder="1" applyAlignment="1">
      <alignment horizontal="center" vertical="center" wrapText="1"/>
    </xf>
    <xf numFmtId="0" fontId="36" fillId="16" borderId="128" xfId="0" applyFont="1" applyFill="1" applyBorder="1" applyAlignment="1">
      <alignment horizontal="center" vertical="center" wrapText="1"/>
    </xf>
    <xf numFmtId="0" fontId="36" fillId="16" borderId="129" xfId="0" applyFont="1" applyFill="1" applyBorder="1" applyAlignment="1">
      <alignment horizontal="center" vertical="center" wrapText="1"/>
    </xf>
    <xf numFmtId="0" fontId="36" fillId="16" borderId="130" xfId="0" applyFont="1" applyFill="1" applyBorder="1" applyAlignment="1">
      <alignment horizontal="center" vertical="center" wrapText="1"/>
    </xf>
    <xf numFmtId="0" fontId="44" fillId="18" borderId="35" xfId="0" applyFont="1" applyFill="1" applyBorder="1" applyAlignment="1">
      <alignment horizontal="center" vertical="center"/>
    </xf>
    <xf numFmtId="0" fontId="44" fillId="18" borderId="37" xfId="0" applyFont="1" applyFill="1" applyBorder="1" applyAlignment="1">
      <alignment horizontal="center" vertical="center"/>
    </xf>
    <xf numFmtId="0" fontId="44" fillId="18" borderId="36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31" fillId="15" borderId="35" xfId="0" applyFont="1" applyFill="1" applyBorder="1" applyAlignment="1">
      <alignment horizontal="center" vertical="center" wrapText="1"/>
    </xf>
    <xf numFmtId="0" fontId="31" fillId="15" borderId="37" xfId="0" applyFont="1" applyFill="1" applyBorder="1" applyAlignment="1">
      <alignment horizontal="center" vertical="center" wrapText="1"/>
    </xf>
    <xf numFmtId="0" fontId="31" fillId="15" borderId="36" xfId="0" applyFont="1" applyFill="1" applyBorder="1" applyAlignment="1">
      <alignment horizontal="center" vertical="center" wrapText="1"/>
    </xf>
    <xf numFmtId="0" fontId="31" fillId="30" borderId="129" xfId="0" applyFont="1" applyFill="1" applyBorder="1" applyAlignment="1">
      <alignment horizontal="center" vertical="center" wrapText="1"/>
    </xf>
    <xf numFmtId="0" fontId="31" fillId="30" borderId="130" xfId="0" applyFont="1" applyFill="1" applyBorder="1" applyAlignment="1">
      <alignment horizontal="center" vertical="center" wrapText="1"/>
    </xf>
    <xf numFmtId="0" fontId="43" fillId="47" borderId="128" xfId="0" applyFont="1" applyFill="1" applyBorder="1" applyAlignment="1">
      <alignment horizontal="center"/>
    </xf>
    <xf numFmtId="0" fontId="0" fillId="47" borderId="129" xfId="0" applyFill="1" applyBorder="1" applyAlignment="1">
      <alignment horizontal="center"/>
    </xf>
    <xf numFmtId="0" fontId="0" fillId="47" borderId="130" xfId="0" applyFill="1" applyBorder="1" applyAlignment="1">
      <alignment horizontal="center"/>
    </xf>
    <xf numFmtId="0" fontId="36" fillId="9" borderId="135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5" fillId="9" borderId="136" xfId="0" applyFont="1" applyFill="1" applyBorder="1" applyAlignment="1">
      <alignment horizontal="center" vertical="center"/>
    </xf>
    <xf numFmtId="0" fontId="36" fillId="18" borderId="78" xfId="0" applyFont="1" applyFill="1" applyBorder="1" applyAlignment="1">
      <alignment horizontal="center" vertical="center" wrapText="1"/>
    </xf>
    <xf numFmtId="0" fontId="36" fillId="18" borderId="149" xfId="0" applyFont="1" applyFill="1" applyBorder="1" applyAlignment="1">
      <alignment horizontal="center" vertical="center" wrapText="1"/>
    </xf>
    <xf numFmtId="0" fontId="36" fillId="20" borderId="126" xfId="0" applyFont="1" applyFill="1" applyBorder="1" applyAlignment="1">
      <alignment horizontal="center" vertical="center" wrapText="1"/>
    </xf>
    <xf numFmtId="0" fontId="36" fillId="20" borderId="104" xfId="0" applyFont="1" applyFill="1" applyBorder="1" applyAlignment="1">
      <alignment horizontal="center" vertical="center" wrapText="1"/>
    </xf>
    <xf numFmtId="0" fontId="37" fillId="9" borderId="1" xfId="0" applyFont="1" applyFill="1" applyBorder="1" applyAlignment="1">
      <alignment horizontal="center" vertical="center"/>
    </xf>
    <xf numFmtId="0" fontId="36" fillId="19" borderId="35" xfId="0" applyFont="1" applyFill="1" applyBorder="1" applyAlignment="1">
      <alignment horizontal="center" vertical="center" wrapText="1"/>
    </xf>
    <xf numFmtId="0" fontId="36" fillId="19" borderId="37" xfId="0" applyFont="1" applyFill="1" applyBorder="1" applyAlignment="1">
      <alignment horizontal="center" vertical="center" wrapText="1"/>
    </xf>
    <xf numFmtId="0" fontId="36" fillId="19" borderId="36" xfId="0" applyFont="1" applyFill="1" applyBorder="1" applyAlignment="1">
      <alignment horizontal="center" vertical="center" wrapText="1"/>
    </xf>
    <xf numFmtId="0" fontId="36" fillId="19" borderId="137" xfId="0" applyFont="1" applyFill="1" applyBorder="1" applyAlignment="1">
      <alignment horizontal="center" vertical="center" wrapText="1"/>
    </xf>
    <xf numFmtId="0" fontId="36" fillId="19" borderId="78" xfId="0" applyFont="1" applyFill="1" applyBorder="1" applyAlignment="1">
      <alignment horizontal="center" vertical="center" wrapText="1"/>
    </xf>
    <xf numFmtId="0" fontId="36" fillId="19" borderId="149" xfId="0" applyFont="1" applyFill="1" applyBorder="1" applyAlignment="1">
      <alignment horizontal="center" vertical="center" wrapText="1"/>
    </xf>
    <xf numFmtId="0" fontId="5" fillId="9" borderId="169" xfId="0" applyFont="1" applyFill="1" applyBorder="1" applyAlignment="1">
      <alignment horizontal="center" vertical="center"/>
    </xf>
    <xf numFmtId="0" fontId="31" fillId="19" borderId="128" xfId="0" applyFont="1" applyFill="1" applyBorder="1" applyAlignment="1">
      <alignment horizontal="center" vertical="center" wrapText="1"/>
    </xf>
    <xf numFmtId="0" fontId="31" fillId="19" borderId="129" xfId="0" applyFont="1" applyFill="1" applyBorder="1" applyAlignment="1">
      <alignment horizontal="center" vertical="center" wrapText="1"/>
    </xf>
    <xf numFmtId="0" fontId="31" fillId="30" borderId="128" xfId="0" applyFont="1" applyFill="1" applyBorder="1" applyAlignment="1">
      <alignment horizontal="center" vertical="center" wrapText="1"/>
    </xf>
    <xf numFmtId="0" fontId="31" fillId="30" borderId="103" xfId="0" applyFont="1" applyFill="1" applyBorder="1" applyAlignment="1">
      <alignment horizontal="center" vertical="center" wrapText="1"/>
    </xf>
    <xf numFmtId="0" fontId="31" fillId="30" borderId="126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0" fontId="9" fillId="9" borderId="176" xfId="0" applyFont="1" applyFill="1" applyBorder="1" applyAlignment="1">
      <alignment horizontal="center" vertical="center"/>
    </xf>
    <xf numFmtId="0" fontId="9" fillId="9" borderId="174" xfId="0" applyFont="1" applyFill="1" applyBorder="1" applyAlignment="1">
      <alignment horizontal="center" vertical="center"/>
    </xf>
    <xf numFmtId="0" fontId="9" fillId="9" borderId="229" xfId="0" applyFont="1" applyFill="1" applyBorder="1" applyAlignment="1">
      <alignment horizontal="center" vertical="center"/>
    </xf>
    <xf numFmtId="0" fontId="31" fillId="47" borderId="128" xfId="0" applyFont="1" applyFill="1" applyBorder="1" applyAlignment="1">
      <alignment horizontal="center" vertical="center" wrapText="1"/>
    </xf>
    <xf numFmtId="0" fontId="31" fillId="47" borderId="129" xfId="0" applyFont="1" applyFill="1" applyBorder="1" applyAlignment="1">
      <alignment horizontal="center" vertical="center" wrapText="1"/>
    </xf>
    <xf numFmtId="0" fontId="31" fillId="47" borderId="130" xfId="0" applyFont="1" applyFill="1" applyBorder="1" applyAlignment="1">
      <alignment horizontal="center" vertical="center" wrapText="1"/>
    </xf>
    <xf numFmtId="0" fontId="48" fillId="19" borderId="128" xfId="0" applyFont="1" applyFill="1" applyBorder="1" applyAlignment="1">
      <alignment horizontal="center" vertical="center" wrapText="1"/>
    </xf>
    <xf numFmtId="0" fontId="31" fillId="19" borderId="130" xfId="0" applyFont="1" applyFill="1" applyBorder="1" applyAlignment="1">
      <alignment horizontal="center" vertical="center" wrapText="1"/>
    </xf>
    <xf numFmtId="0" fontId="0" fillId="9" borderId="128" xfId="0" applyFill="1" applyBorder="1" applyAlignment="1">
      <alignment horizontal="center"/>
    </xf>
    <xf numFmtId="0" fontId="0" fillId="9" borderId="129" xfId="0" applyFill="1" applyBorder="1" applyAlignment="1">
      <alignment horizontal="center"/>
    </xf>
    <xf numFmtId="0" fontId="0" fillId="9" borderId="130" xfId="0" applyFill="1" applyBorder="1" applyAlignment="1">
      <alignment horizontal="center"/>
    </xf>
    <xf numFmtId="0" fontId="9" fillId="9" borderId="130" xfId="0" applyFont="1" applyFill="1" applyBorder="1" applyAlignment="1">
      <alignment horizontal="center" vertical="center"/>
    </xf>
    <xf numFmtId="0" fontId="46" fillId="48" borderId="128" xfId="0" applyFont="1" applyFill="1" applyBorder="1" applyAlignment="1">
      <alignment horizontal="center" vertical="center" wrapText="1"/>
    </xf>
    <xf numFmtId="0" fontId="46" fillId="48" borderId="129" xfId="0" applyFont="1" applyFill="1" applyBorder="1" applyAlignment="1">
      <alignment horizontal="center" vertical="center" wrapText="1"/>
    </xf>
    <xf numFmtId="0" fontId="46" fillId="48" borderId="130" xfId="0" applyFont="1" applyFill="1" applyBorder="1" applyAlignment="1">
      <alignment horizontal="center" vertical="center" wrapText="1"/>
    </xf>
    <xf numFmtId="0" fontId="31" fillId="30" borderId="104" xfId="0" applyFont="1" applyFill="1" applyBorder="1" applyAlignment="1">
      <alignment horizontal="center" vertical="center" wrapText="1"/>
    </xf>
    <xf numFmtId="0" fontId="5" fillId="9" borderId="163" xfId="0" applyFont="1" applyFill="1" applyBorder="1" applyAlignment="1">
      <alignment horizontal="center" vertical="center"/>
    </xf>
    <xf numFmtId="0" fontId="26" fillId="13" borderId="37" xfId="0" applyFont="1" applyFill="1" applyBorder="1" applyAlignment="1">
      <alignment horizontal="center" vertical="center" wrapText="1"/>
    </xf>
    <xf numFmtId="0" fontId="26" fillId="13" borderId="36" xfId="0" applyFont="1" applyFill="1" applyBorder="1" applyAlignment="1">
      <alignment horizontal="center" vertical="center" wrapText="1"/>
    </xf>
    <xf numFmtId="0" fontId="26" fillId="13" borderId="1" xfId="0" applyFont="1" applyFill="1" applyBorder="1" applyAlignment="1">
      <alignment horizontal="center" vertical="center" wrapText="1"/>
    </xf>
    <xf numFmtId="0" fontId="26" fillId="13" borderId="136" xfId="0" applyFont="1" applyFill="1" applyBorder="1" applyAlignment="1">
      <alignment horizontal="center" vertical="center" wrapText="1"/>
    </xf>
    <xf numFmtId="0" fontId="5" fillId="9" borderId="176" xfId="0" applyFont="1" applyFill="1" applyBorder="1" applyAlignment="1">
      <alignment horizontal="center" vertical="center"/>
    </xf>
    <xf numFmtId="0" fontId="5" fillId="9" borderId="174" xfId="0" applyFont="1" applyFill="1" applyBorder="1" applyAlignment="1">
      <alignment horizontal="center" vertical="center"/>
    </xf>
    <xf numFmtId="0" fontId="5" fillId="9" borderId="229" xfId="0" applyFont="1" applyFill="1" applyBorder="1" applyAlignment="1">
      <alignment horizontal="center" vertical="center"/>
    </xf>
    <xf numFmtId="0" fontId="31" fillId="9" borderId="138" xfId="0" applyFont="1" applyFill="1" applyBorder="1" applyAlignment="1">
      <alignment horizontal="center" vertical="center" wrapText="1"/>
    </xf>
    <xf numFmtId="0" fontId="31" fillId="9" borderId="225" xfId="0" applyFont="1" applyFill="1" applyBorder="1" applyAlignment="1">
      <alignment horizontal="center" vertical="center" wrapText="1"/>
    </xf>
    <xf numFmtId="0" fontId="26" fillId="9" borderId="138" xfId="0" applyFont="1" applyFill="1" applyBorder="1" applyAlignment="1">
      <alignment horizontal="center" vertical="center" wrapText="1"/>
    </xf>
    <xf numFmtId="0" fontId="26" fillId="9" borderId="225" xfId="0" applyFont="1" applyFill="1" applyBorder="1" applyAlignment="1">
      <alignment horizontal="center" vertical="center" wrapText="1"/>
    </xf>
    <xf numFmtId="0" fontId="37" fillId="11" borderId="35" xfId="0" applyFont="1" applyFill="1" applyBorder="1" applyAlignment="1">
      <alignment horizontal="center" vertical="center"/>
    </xf>
    <xf numFmtId="0" fontId="37" fillId="11" borderId="37" xfId="0" applyFont="1" applyFill="1" applyBorder="1" applyAlignment="1">
      <alignment horizontal="center" vertical="center"/>
    </xf>
    <xf numFmtId="0" fontId="37" fillId="11" borderId="36" xfId="0" applyFont="1" applyFill="1" applyBorder="1" applyAlignment="1">
      <alignment horizontal="center" vertical="center"/>
    </xf>
    <xf numFmtId="0" fontId="37" fillId="11" borderId="137" xfId="0" applyFont="1" applyFill="1" applyBorder="1" applyAlignment="1">
      <alignment horizontal="center" vertical="center"/>
    </xf>
    <xf numFmtId="0" fontId="37" fillId="11" borderId="78" xfId="0" applyFont="1" applyFill="1" applyBorder="1" applyAlignment="1">
      <alignment horizontal="center" vertical="center"/>
    </xf>
    <xf numFmtId="0" fontId="37" fillId="11" borderId="149" xfId="0" applyFont="1" applyFill="1" applyBorder="1" applyAlignment="1">
      <alignment horizontal="center" vertical="center"/>
    </xf>
    <xf numFmtId="0" fontId="5" fillId="16" borderId="137" xfId="0" applyFont="1" applyFill="1" applyBorder="1" applyAlignment="1">
      <alignment horizontal="center" vertical="center" wrapText="1"/>
    </xf>
    <xf numFmtId="0" fontId="5" fillId="16" borderId="80" xfId="0" applyFont="1" applyFill="1" applyBorder="1" applyAlignment="1">
      <alignment horizontal="center" vertical="center"/>
    </xf>
    <xf numFmtId="0" fontId="5" fillId="9" borderId="29" xfId="0" applyFont="1" applyFill="1" applyBorder="1" applyAlignment="1">
      <alignment horizontal="center" vertical="center"/>
    </xf>
    <xf numFmtId="0" fontId="5" fillId="9" borderId="168" xfId="0" applyFont="1" applyFill="1" applyBorder="1" applyAlignment="1">
      <alignment horizontal="center" vertical="center"/>
    </xf>
    <xf numFmtId="0" fontId="5" fillId="9" borderId="160" xfId="0" applyFont="1" applyFill="1" applyBorder="1" applyAlignment="1">
      <alignment horizontal="center" vertical="center"/>
    </xf>
    <xf numFmtId="0" fontId="5" fillId="9" borderId="230" xfId="0" applyFont="1" applyFill="1" applyBorder="1" applyAlignment="1">
      <alignment horizontal="center" vertical="center"/>
    </xf>
    <xf numFmtId="0" fontId="31" fillId="15" borderId="128" xfId="0" applyFont="1" applyFill="1" applyBorder="1" applyAlignment="1">
      <alignment horizontal="center" vertical="center" wrapText="1"/>
    </xf>
    <xf numFmtId="0" fontId="31" fillId="15" borderId="129" xfId="0" applyFont="1" applyFill="1" applyBorder="1" applyAlignment="1">
      <alignment horizontal="center" vertical="center" wrapText="1"/>
    </xf>
    <xf numFmtId="0" fontId="31" fillId="15" borderId="130" xfId="0" applyFont="1" applyFill="1" applyBorder="1" applyAlignment="1">
      <alignment horizontal="center" vertical="center" wrapText="1"/>
    </xf>
    <xf numFmtId="0" fontId="31" fillId="46" borderId="128" xfId="0" applyFont="1" applyFill="1" applyBorder="1" applyAlignment="1">
      <alignment horizontal="center" vertical="center" wrapText="1"/>
    </xf>
    <xf numFmtId="0" fontId="31" fillId="46" borderId="129" xfId="0" applyFont="1" applyFill="1" applyBorder="1" applyAlignment="1">
      <alignment horizontal="center" vertical="center" wrapText="1"/>
    </xf>
    <xf numFmtId="0" fontId="31" fillId="46" borderId="130" xfId="0" applyFont="1" applyFill="1" applyBorder="1" applyAlignment="1">
      <alignment horizontal="center" vertical="center" wrapText="1"/>
    </xf>
    <xf numFmtId="0" fontId="31" fillId="13" borderId="35" xfId="0" applyFont="1" applyFill="1" applyBorder="1" applyAlignment="1">
      <alignment horizontal="center" vertical="center" wrapText="1"/>
    </xf>
    <xf numFmtId="0" fontId="31" fillId="13" borderId="36" xfId="0" applyFont="1" applyFill="1" applyBorder="1" applyAlignment="1">
      <alignment horizontal="center" vertical="center" wrapText="1"/>
    </xf>
    <xf numFmtId="0" fontId="31" fillId="13" borderId="137" xfId="0" applyFont="1" applyFill="1" applyBorder="1" applyAlignment="1">
      <alignment horizontal="center" vertical="center" wrapText="1"/>
    </xf>
    <xf numFmtId="0" fontId="31" fillId="13" borderId="78" xfId="0" applyFont="1" applyFill="1" applyBorder="1" applyAlignment="1">
      <alignment horizontal="center" vertical="center" wrapText="1"/>
    </xf>
    <xf numFmtId="0" fontId="31" fillId="13" borderId="149" xfId="0" applyFont="1" applyFill="1" applyBorder="1" applyAlignment="1">
      <alignment horizontal="center" vertical="center" wrapText="1"/>
    </xf>
    <xf numFmtId="0" fontId="36" fillId="47" borderId="1" xfId="0" applyFont="1" applyFill="1" applyBorder="1" applyAlignment="1">
      <alignment horizontal="center" vertical="center" wrapText="1"/>
    </xf>
    <xf numFmtId="0" fontId="36" fillId="47" borderId="136" xfId="0" applyFont="1" applyFill="1" applyBorder="1" applyAlignment="1">
      <alignment horizontal="center" vertical="center" wrapText="1"/>
    </xf>
    <xf numFmtId="0" fontId="36" fillId="47" borderId="80" xfId="0" applyFont="1" applyFill="1" applyBorder="1" applyAlignment="1">
      <alignment horizontal="center" vertical="center" wrapText="1"/>
    </xf>
    <xf numFmtId="0" fontId="43" fillId="0" borderId="35" xfId="0" applyFont="1" applyBorder="1" applyAlignment="1">
      <alignment horizontal="center" vertical="center" wrapText="1"/>
    </xf>
    <xf numFmtId="0" fontId="43" fillId="0" borderId="80" xfId="0" applyFont="1" applyBorder="1" applyAlignment="1">
      <alignment horizontal="center" vertical="center" wrapText="1"/>
    </xf>
    <xf numFmtId="0" fontId="43" fillId="0" borderId="137" xfId="0" applyFont="1" applyBorder="1" applyAlignment="1">
      <alignment horizontal="center" vertical="center" wrapText="1"/>
    </xf>
    <xf numFmtId="0" fontId="19" fillId="9" borderId="128" xfId="0" applyFont="1" applyFill="1" applyBorder="1" applyAlignment="1">
      <alignment horizontal="center" vertical="center"/>
    </xf>
    <xf numFmtId="0" fontId="19" fillId="9" borderId="129" xfId="0" applyFont="1" applyFill="1" applyBorder="1" applyAlignment="1">
      <alignment horizontal="center" vertical="center"/>
    </xf>
    <xf numFmtId="0" fontId="19" fillId="9" borderId="130" xfId="0" applyFont="1" applyFill="1" applyBorder="1" applyAlignment="1">
      <alignment horizontal="center" vertical="center"/>
    </xf>
    <xf numFmtId="0" fontId="34" fillId="9" borderId="138" xfId="0" applyFont="1" applyFill="1" applyBorder="1" applyAlignment="1">
      <alignment horizontal="center" vertical="center" wrapText="1"/>
    </xf>
    <xf numFmtId="0" fontId="34" fillId="9" borderId="109" xfId="0" applyFont="1" applyFill="1" applyBorder="1" applyAlignment="1">
      <alignment horizontal="center" vertical="center" wrapText="1"/>
    </xf>
    <xf numFmtId="0" fontId="34" fillId="9" borderId="225" xfId="0" applyFont="1" applyFill="1" applyBorder="1" applyAlignment="1">
      <alignment horizontal="center" vertical="center" wrapText="1"/>
    </xf>
    <xf numFmtId="0" fontId="34" fillId="9" borderId="135" xfId="0" applyFont="1" applyFill="1" applyBorder="1" applyAlignment="1">
      <alignment horizontal="center" vertical="center" wrapText="1"/>
    </xf>
    <xf numFmtId="0" fontId="4" fillId="2" borderId="182" xfId="0" applyFont="1" applyFill="1" applyBorder="1" applyAlignment="1">
      <alignment horizontal="center" vertical="center"/>
    </xf>
    <xf numFmtId="0" fontId="19" fillId="9" borderId="35" xfId="0" applyFont="1" applyFill="1" applyBorder="1" applyAlignment="1">
      <alignment horizontal="center" vertical="center"/>
    </xf>
    <xf numFmtId="0" fontId="19" fillId="9" borderId="37" xfId="0" applyFont="1" applyFill="1" applyBorder="1" applyAlignment="1">
      <alignment horizontal="center" vertical="center"/>
    </xf>
    <xf numFmtId="0" fontId="19" fillId="9" borderId="36" xfId="0" applyFont="1" applyFill="1" applyBorder="1" applyAlignment="1">
      <alignment horizontal="center" vertical="center"/>
    </xf>
    <xf numFmtId="0" fontId="4" fillId="9" borderId="183" xfId="0" applyFont="1" applyFill="1" applyBorder="1" applyAlignment="1">
      <alignment horizontal="center" vertical="center"/>
    </xf>
    <xf numFmtId="0" fontId="4" fillId="9" borderId="181" xfId="0" applyFont="1" applyFill="1" applyBorder="1" applyAlignment="1">
      <alignment horizontal="center" vertical="center"/>
    </xf>
    <xf numFmtId="0" fontId="4" fillId="9" borderId="184" xfId="0" applyFont="1" applyFill="1" applyBorder="1" applyAlignment="1">
      <alignment horizontal="center" vertical="center"/>
    </xf>
    <xf numFmtId="0" fontId="36" fillId="50" borderId="128" xfId="0" applyFont="1" applyFill="1" applyBorder="1" applyAlignment="1">
      <alignment horizontal="center" vertical="center" wrapText="1"/>
    </xf>
    <xf numFmtId="0" fontId="36" fillId="50" borderId="129" xfId="0" applyFont="1" applyFill="1" applyBorder="1" applyAlignment="1">
      <alignment horizontal="center" vertical="center" wrapText="1"/>
    </xf>
    <xf numFmtId="0" fontId="36" fillId="50" borderId="130" xfId="0" applyFont="1" applyFill="1" applyBorder="1" applyAlignment="1">
      <alignment horizontal="center" vertical="center" wrapText="1"/>
    </xf>
    <xf numFmtId="0" fontId="31" fillId="34" borderId="35" xfId="0" applyFont="1" applyFill="1" applyBorder="1" applyAlignment="1">
      <alignment horizontal="center" vertical="center" wrapText="1"/>
    </xf>
    <xf numFmtId="0" fontId="31" fillId="34" borderId="37" xfId="0" applyFont="1" applyFill="1" applyBorder="1" applyAlignment="1">
      <alignment horizontal="center" vertical="center" wrapText="1"/>
    </xf>
    <xf numFmtId="0" fontId="31" fillId="34" borderId="36" xfId="0" applyFont="1" applyFill="1" applyBorder="1" applyAlignment="1">
      <alignment horizontal="center" vertical="center" wrapText="1"/>
    </xf>
    <xf numFmtId="0" fontId="31" fillId="34" borderId="137" xfId="0" applyFont="1" applyFill="1" applyBorder="1" applyAlignment="1">
      <alignment horizontal="center" vertical="center" wrapText="1"/>
    </xf>
    <xf numFmtId="0" fontId="31" fillId="34" borderId="78" xfId="0" applyFont="1" applyFill="1" applyBorder="1" applyAlignment="1">
      <alignment horizontal="center" vertical="center" wrapText="1"/>
    </xf>
    <xf numFmtId="0" fontId="31" fillId="34" borderId="149" xfId="0" applyFont="1" applyFill="1" applyBorder="1" applyAlignment="1">
      <alignment horizontal="center" vertical="center" wrapText="1"/>
    </xf>
    <xf numFmtId="0" fontId="31" fillId="23" borderId="1" xfId="0" applyFont="1" applyFill="1" applyBorder="1" applyAlignment="1">
      <alignment horizontal="center" vertical="center" wrapText="1"/>
    </xf>
    <xf numFmtId="0" fontId="46" fillId="19" borderId="128" xfId="0" applyFont="1" applyFill="1" applyBorder="1" applyAlignment="1">
      <alignment horizontal="center" vertical="center" wrapText="1"/>
    </xf>
    <xf numFmtId="0" fontId="46" fillId="19" borderId="129" xfId="0" applyFont="1" applyFill="1" applyBorder="1" applyAlignment="1">
      <alignment horizontal="center" vertical="center" wrapText="1"/>
    </xf>
    <xf numFmtId="0" fontId="46" fillId="19" borderId="130" xfId="0" applyFont="1" applyFill="1" applyBorder="1" applyAlignment="1">
      <alignment horizontal="center" vertical="center" wrapText="1"/>
    </xf>
    <xf numFmtId="0" fontId="37" fillId="19" borderId="128" xfId="0" applyFont="1" applyFill="1" applyBorder="1" applyAlignment="1">
      <alignment horizontal="center"/>
    </xf>
    <xf numFmtId="0" fontId="37" fillId="19" borderId="129" xfId="0" applyFont="1" applyFill="1" applyBorder="1" applyAlignment="1">
      <alignment horizontal="center"/>
    </xf>
    <xf numFmtId="0" fontId="37" fillId="19" borderId="130" xfId="0" applyFont="1" applyFill="1" applyBorder="1" applyAlignment="1">
      <alignment horizontal="center"/>
    </xf>
    <xf numFmtId="0" fontId="5" fillId="16" borderId="24" xfId="0" applyFont="1" applyFill="1" applyBorder="1" applyAlignment="1">
      <alignment horizontal="center" vertical="center" wrapText="1"/>
    </xf>
    <xf numFmtId="0" fontId="5" fillId="16" borderId="33" xfId="0" applyFont="1" applyFill="1" applyBorder="1" applyAlignment="1">
      <alignment horizontal="center" vertical="center" wrapText="1"/>
    </xf>
    <xf numFmtId="0" fontId="5" fillId="16" borderId="24" xfId="0" applyFont="1" applyFill="1" applyBorder="1" applyAlignment="1">
      <alignment horizontal="center" vertical="center"/>
    </xf>
    <xf numFmtId="0" fontId="5" fillId="16" borderId="28" xfId="0" applyFont="1" applyFill="1" applyBorder="1" applyAlignment="1">
      <alignment horizontal="center" vertical="center"/>
    </xf>
    <xf numFmtId="0" fontId="5" fillId="16" borderId="29" xfId="0" applyFont="1" applyFill="1" applyBorder="1" applyAlignment="1">
      <alignment horizontal="center" vertical="center"/>
    </xf>
    <xf numFmtId="0" fontId="43" fillId="47" borderId="129" xfId="0" applyFont="1" applyFill="1" applyBorder="1" applyAlignment="1">
      <alignment horizontal="center"/>
    </xf>
    <xf numFmtId="0" fontId="43" fillId="47" borderId="130" xfId="0" applyFont="1" applyFill="1" applyBorder="1" applyAlignment="1">
      <alignment horizontal="center"/>
    </xf>
    <xf numFmtId="0" fontId="0" fillId="9" borderId="80" xfId="0" applyFill="1" applyBorder="1" applyAlignment="1">
      <alignment horizontal="center"/>
    </xf>
    <xf numFmtId="0" fontId="31" fillId="20" borderId="128" xfId="0" applyFont="1" applyFill="1" applyBorder="1" applyAlignment="1">
      <alignment horizontal="center" vertical="center" wrapText="1"/>
    </xf>
    <xf numFmtId="0" fontId="31" fillId="20" borderId="129" xfId="0" applyFont="1" applyFill="1" applyBorder="1" applyAlignment="1">
      <alignment horizontal="center" vertical="center" wrapText="1"/>
    </xf>
    <xf numFmtId="0" fontId="31" fillId="20" borderId="130" xfId="0" applyFont="1" applyFill="1" applyBorder="1" applyAlignment="1">
      <alignment horizontal="center" vertical="center" wrapText="1"/>
    </xf>
    <xf numFmtId="0" fontId="47" fillId="49" borderId="35" xfId="0" applyFont="1" applyFill="1" applyBorder="1" applyAlignment="1">
      <alignment horizontal="center" vertical="center" wrapText="1"/>
    </xf>
    <xf numFmtId="0" fontId="47" fillId="49" borderId="37" xfId="0" applyFont="1" applyFill="1" applyBorder="1" applyAlignment="1">
      <alignment horizontal="center" vertical="center" wrapText="1"/>
    </xf>
    <xf numFmtId="0" fontId="47" fillId="49" borderId="36" xfId="0" applyFont="1" applyFill="1" applyBorder="1" applyAlignment="1">
      <alignment horizontal="center" vertical="center" wrapText="1"/>
    </xf>
    <xf numFmtId="0" fontId="47" fillId="49" borderId="137" xfId="0" applyFont="1" applyFill="1" applyBorder="1" applyAlignment="1">
      <alignment horizontal="center" vertical="center" wrapText="1"/>
    </xf>
    <xf numFmtId="0" fontId="47" fillId="49" borderId="78" xfId="0" applyFont="1" applyFill="1" applyBorder="1" applyAlignment="1">
      <alignment horizontal="center" vertical="center" wrapText="1"/>
    </xf>
    <xf numFmtId="0" fontId="47" fillId="49" borderId="149" xfId="0" applyFont="1" applyFill="1" applyBorder="1" applyAlignment="1">
      <alignment horizontal="center" vertical="center" wrapText="1"/>
    </xf>
    <xf numFmtId="0" fontId="44" fillId="19" borderId="128" xfId="0" applyFont="1" applyFill="1" applyBorder="1" applyAlignment="1">
      <alignment horizontal="center" vertical="center"/>
    </xf>
    <xf numFmtId="0" fontId="44" fillId="19" borderId="129" xfId="0" applyFont="1" applyFill="1" applyBorder="1" applyAlignment="1">
      <alignment horizontal="center" vertical="center"/>
    </xf>
    <xf numFmtId="0" fontId="44" fillId="19" borderId="130" xfId="0" applyFont="1" applyFill="1" applyBorder="1" applyAlignment="1">
      <alignment horizontal="center" vertical="center"/>
    </xf>
    <xf numFmtId="0" fontId="44" fillId="9" borderId="78" xfId="0" applyFont="1" applyFill="1" applyBorder="1" applyAlignment="1">
      <alignment horizontal="center" vertical="center"/>
    </xf>
    <xf numFmtId="0" fontId="0" fillId="16" borderId="128" xfId="0" applyFill="1" applyBorder="1" applyAlignment="1">
      <alignment horizontal="center"/>
    </xf>
    <xf numFmtId="0" fontId="0" fillId="16" borderId="129" xfId="0" applyFill="1" applyBorder="1" applyAlignment="1">
      <alignment horizontal="center"/>
    </xf>
    <xf numFmtId="0" fontId="0" fillId="16" borderId="130" xfId="0" applyFill="1" applyBorder="1" applyAlignment="1">
      <alignment horizontal="center"/>
    </xf>
    <xf numFmtId="0" fontId="20" fillId="9" borderId="128" xfId="0" applyFont="1" applyFill="1" applyBorder="1" applyAlignment="1">
      <alignment horizontal="center" vertical="center" wrapText="1"/>
    </xf>
    <xf numFmtId="0" fontId="20" fillId="9" borderId="129" xfId="0" applyFont="1" applyFill="1" applyBorder="1" applyAlignment="1">
      <alignment horizontal="center" vertical="center" wrapText="1"/>
    </xf>
    <xf numFmtId="0" fontId="20" fillId="9" borderId="130" xfId="0" applyFont="1" applyFill="1" applyBorder="1" applyAlignment="1">
      <alignment horizontal="center" vertical="center" wrapText="1"/>
    </xf>
    <xf numFmtId="0" fontId="20" fillId="18" borderId="128" xfId="0" applyFont="1" applyFill="1" applyBorder="1" applyAlignment="1">
      <alignment horizontal="center" vertical="center" wrapText="1"/>
    </xf>
    <xf numFmtId="0" fontId="20" fillId="18" borderId="129" xfId="0" applyFont="1" applyFill="1" applyBorder="1" applyAlignment="1">
      <alignment horizontal="center" vertical="center" wrapText="1"/>
    </xf>
    <xf numFmtId="0" fontId="20" fillId="18" borderId="130" xfId="0" applyFont="1" applyFill="1" applyBorder="1" applyAlignment="1">
      <alignment horizontal="center" vertical="center" wrapText="1"/>
    </xf>
    <xf numFmtId="0" fontId="20" fillId="18" borderId="78" xfId="0" applyFont="1" applyFill="1" applyBorder="1" applyAlignment="1">
      <alignment horizontal="center" vertical="center" wrapText="1"/>
    </xf>
    <xf numFmtId="0" fontId="20" fillId="18" borderId="137" xfId="0" applyFont="1" applyFill="1" applyBorder="1" applyAlignment="1">
      <alignment horizontal="center" vertical="center" wrapText="1"/>
    </xf>
    <xf numFmtId="0" fontId="20" fillId="18" borderId="149" xfId="0" applyFont="1" applyFill="1" applyBorder="1" applyAlignment="1">
      <alignment horizontal="center" vertical="center" wrapText="1"/>
    </xf>
    <xf numFmtId="0" fontId="51" fillId="18" borderId="137" xfId="0" applyFont="1" applyFill="1" applyBorder="1" applyAlignment="1">
      <alignment horizontal="center"/>
    </xf>
    <xf numFmtId="0" fontId="51" fillId="18" borderId="78" xfId="0" applyFont="1" applyFill="1" applyBorder="1" applyAlignment="1">
      <alignment horizontal="center"/>
    </xf>
    <xf numFmtId="0" fontId="51" fillId="18" borderId="149" xfId="0" applyFont="1" applyFill="1" applyBorder="1" applyAlignment="1">
      <alignment horizontal="center"/>
    </xf>
    <xf numFmtId="0" fontId="51" fillId="18" borderId="128" xfId="0" applyFont="1" applyFill="1" applyBorder="1" applyAlignment="1">
      <alignment horizontal="center"/>
    </xf>
    <xf numFmtId="0" fontId="51" fillId="18" borderId="129" xfId="0" applyFont="1" applyFill="1" applyBorder="1" applyAlignment="1">
      <alignment horizontal="center"/>
    </xf>
    <xf numFmtId="0" fontId="51" fillId="18" borderId="130" xfId="0" applyFont="1" applyFill="1" applyBorder="1" applyAlignment="1">
      <alignment horizontal="center"/>
    </xf>
    <xf numFmtId="0" fontId="37" fillId="15" borderId="128" xfId="0" applyFont="1" applyFill="1" applyBorder="1" applyAlignment="1">
      <alignment horizontal="center"/>
    </xf>
    <xf numFmtId="0" fontId="37" fillId="15" borderId="129" xfId="0" applyFont="1" applyFill="1" applyBorder="1" applyAlignment="1">
      <alignment horizontal="center"/>
    </xf>
    <xf numFmtId="0" fontId="19" fillId="9" borderId="1" xfId="0" applyFont="1" applyFill="1" applyBorder="1" applyAlignment="1">
      <alignment horizontal="center" vertical="center"/>
    </xf>
    <xf numFmtId="0" fontId="46" fillId="9" borderId="137" xfId="0" applyFont="1" applyFill="1" applyBorder="1" applyAlignment="1">
      <alignment horizontal="center" vertical="center" wrapText="1"/>
    </xf>
    <xf numFmtId="0" fontId="46" fillId="9" borderId="78" xfId="0" applyFont="1" applyFill="1" applyBorder="1" applyAlignment="1">
      <alignment horizontal="center" vertical="center" wrapText="1"/>
    </xf>
    <xf numFmtId="0" fontId="46" fillId="9" borderId="149" xfId="0" applyFont="1" applyFill="1" applyBorder="1" applyAlignment="1">
      <alignment horizontal="center" vertical="center" wrapText="1"/>
    </xf>
    <xf numFmtId="0" fontId="4" fillId="9" borderId="99" xfId="0" applyFont="1" applyFill="1" applyBorder="1" applyAlignment="1">
      <alignment horizontal="center" vertical="center"/>
    </xf>
    <xf numFmtId="0" fontId="4" fillId="9" borderId="75" xfId="0" applyFont="1" applyFill="1" applyBorder="1" applyAlignment="1">
      <alignment horizontal="center" vertical="center"/>
    </xf>
    <xf numFmtId="0" fontId="4" fillId="9" borderId="100" xfId="0" applyFont="1" applyFill="1" applyBorder="1" applyAlignment="1">
      <alignment horizontal="center" vertical="center"/>
    </xf>
    <xf numFmtId="0" fontId="37" fillId="9" borderId="1" xfId="0" applyFont="1" applyFill="1" applyBorder="1" applyAlignment="1">
      <alignment horizontal="center"/>
    </xf>
    <xf numFmtId="0" fontId="19" fillId="9" borderId="80" xfId="0" applyFont="1" applyFill="1" applyBorder="1" applyAlignment="1">
      <alignment horizontal="center" vertical="center"/>
    </xf>
    <xf numFmtId="0" fontId="19" fillId="9" borderId="136" xfId="0" applyFont="1" applyFill="1" applyBorder="1" applyAlignment="1">
      <alignment horizontal="center" vertical="center"/>
    </xf>
    <xf numFmtId="0" fontId="19" fillId="9" borderId="226" xfId="0" applyFont="1" applyFill="1" applyBorder="1" applyAlignment="1">
      <alignment horizontal="center" vertical="center"/>
    </xf>
    <xf numFmtId="0" fontId="19" fillId="9" borderId="75" xfId="0" applyFont="1" applyFill="1" applyBorder="1" applyAlignment="1">
      <alignment horizontal="center" vertical="center"/>
    </xf>
    <xf numFmtId="0" fontId="19" fillId="9" borderId="100" xfId="0" applyFont="1" applyFill="1" applyBorder="1" applyAlignment="1">
      <alignment horizontal="center" vertical="center"/>
    </xf>
    <xf numFmtId="0" fontId="4" fillId="9" borderId="128" xfId="0" applyFont="1" applyFill="1" applyBorder="1" applyAlignment="1">
      <alignment horizontal="center" vertical="center"/>
    </xf>
    <xf numFmtId="0" fontId="4" fillId="9" borderId="129" xfId="0" applyFont="1" applyFill="1" applyBorder="1" applyAlignment="1">
      <alignment horizontal="center" vertical="center"/>
    </xf>
    <xf numFmtId="0" fontId="4" fillId="9" borderId="130" xfId="0" applyFont="1" applyFill="1" applyBorder="1" applyAlignment="1">
      <alignment horizontal="center" vertical="center"/>
    </xf>
    <xf numFmtId="0" fontId="9" fillId="9" borderId="149" xfId="0" applyFont="1" applyFill="1" applyBorder="1" applyAlignment="1">
      <alignment horizontal="center" vertical="center"/>
    </xf>
    <xf numFmtId="0" fontId="19" fillId="9" borderId="99" xfId="0" applyFont="1" applyFill="1" applyBorder="1" applyAlignment="1">
      <alignment horizontal="center" vertical="center"/>
    </xf>
    <xf numFmtId="0" fontId="19" fillId="9" borderId="227" xfId="0" applyFont="1" applyFill="1" applyBorder="1" applyAlignment="1">
      <alignment horizontal="center" vertical="center"/>
    </xf>
    <xf numFmtId="0" fontId="51" fillId="9" borderId="128" xfId="0" applyFont="1" applyFill="1" applyBorder="1" applyAlignment="1">
      <alignment horizontal="center" vertical="center"/>
    </xf>
    <xf numFmtId="0" fontId="51" fillId="9" borderId="129" xfId="0" applyFont="1" applyFill="1" applyBorder="1" applyAlignment="1">
      <alignment horizontal="center" vertical="center"/>
    </xf>
    <xf numFmtId="0" fontId="37" fillId="19" borderId="128" xfId="0" applyFont="1" applyFill="1" applyBorder="1" applyAlignment="1">
      <alignment horizontal="center" vertical="center"/>
    </xf>
    <xf numFmtId="0" fontId="37" fillId="19" borderId="129" xfId="0" applyFont="1" applyFill="1" applyBorder="1" applyAlignment="1">
      <alignment horizontal="center" vertical="center"/>
    </xf>
    <xf numFmtId="0" fontId="37" fillId="19" borderId="130" xfId="0" applyFont="1" applyFill="1" applyBorder="1" applyAlignment="1">
      <alignment horizontal="center" vertical="center"/>
    </xf>
    <xf numFmtId="0" fontId="4" fillId="9" borderId="136" xfId="0" applyFont="1" applyFill="1" applyBorder="1" applyAlignment="1">
      <alignment horizontal="center" vertical="center"/>
    </xf>
    <xf numFmtId="0" fontId="6" fillId="2" borderId="128" xfId="0" applyFont="1" applyFill="1" applyBorder="1" applyAlignment="1">
      <alignment horizontal="center" vertical="center"/>
    </xf>
    <xf numFmtId="0" fontId="5" fillId="19" borderId="137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137" xfId="0" applyFont="1" applyFill="1" applyBorder="1" applyAlignment="1">
      <alignment horizontal="center" vertical="center"/>
    </xf>
    <xf numFmtId="0" fontId="2" fillId="2" borderId="136" xfId="0" applyFont="1" applyFill="1" applyBorder="1" applyAlignment="1">
      <alignment horizontal="center" vertical="center"/>
    </xf>
    <xf numFmtId="0" fontId="5" fillId="16" borderId="80" xfId="0" applyFont="1" applyFill="1" applyBorder="1" applyAlignment="1">
      <alignment horizontal="center" vertical="center" wrapText="1"/>
    </xf>
    <xf numFmtId="0" fontId="5" fillId="16" borderId="35" xfId="0" applyFont="1" applyFill="1" applyBorder="1" applyAlignment="1">
      <alignment horizontal="center" vertical="center"/>
    </xf>
    <xf numFmtId="0" fontId="19" fillId="9" borderId="183" xfId="0" applyFont="1" applyFill="1" applyBorder="1" applyAlignment="1">
      <alignment horizontal="center" vertical="center"/>
    </xf>
    <xf numFmtId="0" fontId="5" fillId="16" borderId="32" xfId="0" applyFont="1" applyFill="1" applyBorder="1" applyAlignment="1">
      <alignment horizontal="center" vertical="center" wrapText="1"/>
    </xf>
    <xf numFmtId="0" fontId="5" fillId="16" borderId="19" xfId="0" applyFont="1" applyFill="1" applyBorder="1" applyAlignment="1">
      <alignment horizontal="center" vertical="center" wrapText="1"/>
    </xf>
    <xf numFmtId="0" fontId="21" fillId="16" borderId="35" xfId="0" applyFont="1" applyFill="1" applyBorder="1" applyAlignment="1">
      <alignment horizontal="center" vertical="center" wrapText="1"/>
    </xf>
    <xf numFmtId="0" fontId="21" fillId="16" borderId="137" xfId="0" applyFont="1" applyFill="1" applyBorder="1" applyAlignment="1">
      <alignment horizontal="center" vertical="center" wrapText="1"/>
    </xf>
    <xf numFmtId="0" fontId="2" fillId="2" borderId="149" xfId="0" applyFont="1" applyFill="1" applyBorder="1" applyAlignment="1">
      <alignment horizontal="center" vertical="center"/>
    </xf>
    <xf numFmtId="0" fontId="20" fillId="30" borderId="80" xfId="0" applyFont="1" applyFill="1" applyBorder="1" applyAlignment="1">
      <alignment horizontal="center" vertical="center" wrapText="1"/>
    </xf>
    <xf numFmtId="0" fontId="20" fillId="30" borderId="1" xfId="0" applyFont="1" applyFill="1" applyBorder="1" applyAlignment="1">
      <alignment horizontal="center" vertical="center" wrapText="1"/>
    </xf>
    <xf numFmtId="0" fontId="20" fillId="30" borderId="136" xfId="0" applyFont="1" applyFill="1" applyBorder="1" applyAlignment="1">
      <alignment horizontal="center" vertical="center" wrapText="1"/>
    </xf>
    <xf numFmtId="0" fontId="20" fillId="30" borderId="78" xfId="0" applyFont="1" applyFill="1" applyBorder="1" applyAlignment="1">
      <alignment horizontal="center" vertical="center" wrapText="1"/>
    </xf>
    <xf numFmtId="0" fontId="37" fillId="16" borderId="128" xfId="0" applyFont="1" applyFill="1" applyBorder="1" applyAlignment="1">
      <alignment horizontal="center"/>
    </xf>
    <xf numFmtId="0" fontId="37" fillId="16" borderId="129" xfId="0" applyFont="1" applyFill="1" applyBorder="1" applyAlignment="1">
      <alignment horizontal="center"/>
    </xf>
    <xf numFmtId="0" fontId="37" fillId="16" borderId="130" xfId="0" applyFont="1" applyFill="1" applyBorder="1" applyAlignment="1">
      <alignment horizontal="center"/>
    </xf>
    <xf numFmtId="0" fontId="36" fillId="9" borderId="137" xfId="0" applyFont="1" applyFill="1" applyBorder="1" applyAlignment="1">
      <alignment horizontal="center" vertical="center" wrapText="1"/>
    </xf>
    <xf numFmtId="0" fontId="36" fillId="9" borderId="78" xfId="0" applyFont="1" applyFill="1" applyBorder="1" applyAlignment="1">
      <alignment horizontal="center" vertical="center" wrapText="1"/>
    </xf>
    <xf numFmtId="0" fontId="20" fillId="19" borderId="129" xfId="0" applyFont="1" applyFill="1" applyBorder="1" applyAlignment="1">
      <alignment horizontal="center" vertical="center" wrapText="1"/>
    </xf>
    <xf numFmtId="0" fontId="9" fillId="9" borderId="226" xfId="0" applyFont="1" applyFill="1" applyBorder="1" applyAlignment="1">
      <alignment horizontal="center" vertical="center"/>
    </xf>
    <xf numFmtId="0" fontId="51" fillId="18" borderId="1" xfId="0" applyFont="1" applyFill="1" applyBorder="1" applyAlignment="1">
      <alignment horizontal="center" vertical="center"/>
    </xf>
    <xf numFmtId="0" fontId="51" fillId="18" borderId="35" xfId="0" applyFont="1" applyFill="1" applyBorder="1" applyAlignment="1">
      <alignment horizontal="center" vertical="center"/>
    </xf>
    <xf numFmtId="0" fontId="51" fillId="18" borderId="37" xfId="0" applyFont="1" applyFill="1" applyBorder="1" applyAlignment="1">
      <alignment horizontal="center" vertical="center"/>
    </xf>
    <xf numFmtId="0" fontId="51" fillId="18" borderId="36" xfId="0" applyFont="1" applyFill="1" applyBorder="1" applyAlignment="1">
      <alignment horizontal="center" vertical="center"/>
    </xf>
    <xf numFmtId="0" fontId="37" fillId="15" borderId="78" xfId="0" applyFont="1" applyFill="1" applyBorder="1" applyAlignment="1">
      <alignment horizontal="center"/>
    </xf>
    <xf numFmtId="0" fontId="37" fillId="15" borderId="130" xfId="0" applyFont="1" applyFill="1" applyBorder="1" applyAlignment="1">
      <alignment horizontal="center"/>
    </xf>
    <xf numFmtId="0" fontId="37" fillId="9" borderId="129" xfId="0" applyFont="1" applyFill="1" applyBorder="1" applyAlignment="1">
      <alignment horizontal="center"/>
    </xf>
    <xf numFmtId="0" fontId="37" fillId="9" borderId="130" xfId="0" applyFont="1" applyFill="1" applyBorder="1" applyAlignment="1">
      <alignment horizontal="center"/>
    </xf>
    <xf numFmtId="0" fontId="36" fillId="9" borderId="136" xfId="0" applyFont="1" applyFill="1" applyBorder="1" applyAlignment="1">
      <alignment horizontal="center" vertical="center" wrapText="1"/>
    </xf>
    <xf numFmtId="0" fontId="36" fillId="9" borderId="149" xfId="0" applyFont="1" applyFill="1" applyBorder="1" applyAlignment="1">
      <alignment horizontal="center" vertical="center" wrapText="1"/>
    </xf>
    <xf numFmtId="0" fontId="31" fillId="21" borderId="1" xfId="0" applyFont="1" applyFill="1" applyBorder="1" applyAlignment="1">
      <alignment horizontal="center" vertical="center" wrapText="1"/>
    </xf>
    <xf numFmtId="0" fontId="31" fillId="21" borderId="136" xfId="0" applyFont="1" applyFill="1" applyBorder="1" applyAlignment="1">
      <alignment horizontal="center" vertical="center" wrapText="1"/>
    </xf>
    <xf numFmtId="0" fontId="31" fillId="21" borderId="78" xfId="0" applyFont="1" applyFill="1" applyBorder="1" applyAlignment="1">
      <alignment horizontal="center" vertical="center" wrapText="1"/>
    </xf>
    <xf numFmtId="0" fontId="31" fillId="21" borderId="149" xfId="0" applyFont="1" applyFill="1" applyBorder="1" applyAlignment="1">
      <alignment horizontal="center" vertical="center" wrapText="1"/>
    </xf>
    <xf numFmtId="0" fontId="19" fillId="18" borderId="128" xfId="0" applyFont="1" applyFill="1" applyBorder="1" applyAlignment="1">
      <alignment horizontal="center" vertical="center"/>
    </xf>
    <xf numFmtId="0" fontId="19" fillId="18" borderId="129" xfId="0" applyFont="1" applyFill="1" applyBorder="1" applyAlignment="1">
      <alignment horizontal="center" vertical="center"/>
    </xf>
    <xf numFmtId="0" fontId="19" fillId="18" borderId="130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40" fillId="0" borderId="41" xfId="0" applyFont="1" applyBorder="1" applyAlignment="1">
      <alignment vertical="center"/>
    </xf>
    <xf numFmtId="0" fontId="40" fillId="0" borderId="220" xfId="0" applyFon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39" fillId="41" borderId="35" xfId="0" applyFont="1" applyFill="1" applyBorder="1" applyAlignment="1">
      <alignment horizontal="center" vertical="center"/>
    </xf>
    <xf numFmtId="0" fontId="39" fillId="41" borderId="37" xfId="0" applyFont="1" applyFill="1" applyBorder="1" applyAlignment="1">
      <alignment horizontal="center" vertical="center"/>
    </xf>
    <xf numFmtId="0" fontId="39" fillId="41" borderId="129" xfId="0" applyFont="1" applyFill="1" applyBorder="1" applyAlignment="1">
      <alignment horizontal="center" vertical="center"/>
    </xf>
    <xf numFmtId="0" fontId="39" fillId="41" borderId="36" xfId="0" applyFont="1" applyFill="1" applyBorder="1" applyAlignment="1">
      <alignment horizontal="center" vertical="center"/>
    </xf>
    <xf numFmtId="0" fontId="24" fillId="0" borderId="159" xfId="0" applyFont="1" applyBorder="1" applyAlignment="1">
      <alignment horizontal="center" vertical="center"/>
    </xf>
    <xf numFmtId="0" fontId="24" fillId="0" borderId="117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3DDE9"/>
      <color rgb="FFECF3C3"/>
      <color rgb="FFBDBD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19BB-ECD1-4C74-8CDF-CDBE051CFFE1}">
  <dimension ref="C3:AI157"/>
  <sheetViews>
    <sheetView topLeftCell="E46" zoomScale="89" workbookViewId="0">
      <selection activeCell="E46" sqref="E46"/>
    </sheetView>
  </sheetViews>
  <sheetFormatPr baseColWidth="10" defaultColWidth="9.09765625" defaultRowHeight="13.8"/>
  <cols>
    <col min="4" max="4" width="8.3984375" customWidth="1"/>
    <col min="5" max="5" width="23.3984375" customWidth="1"/>
    <col min="6" max="7" width="5.8984375" customWidth="1"/>
    <col min="8" max="8" width="5.59765625" customWidth="1"/>
    <col min="9" max="9" width="5.8984375" customWidth="1"/>
    <col min="10" max="10" width="5.69921875" customWidth="1"/>
    <col min="11" max="11" width="5.59765625" customWidth="1"/>
    <col min="12" max="13" width="5.8984375" customWidth="1"/>
    <col min="14" max="14" width="4.69921875" customWidth="1"/>
    <col min="15" max="15" width="5.8984375" customWidth="1"/>
    <col min="16" max="16" width="6.3984375" customWidth="1"/>
    <col min="17" max="17" width="5.8984375" customWidth="1"/>
    <col min="18" max="18" width="6.59765625" customWidth="1"/>
    <col min="19" max="19" width="5.8984375" customWidth="1"/>
    <col min="20" max="20" width="5" customWidth="1"/>
    <col min="21" max="21" width="6.296875" customWidth="1"/>
    <col min="22" max="22" width="6.69921875" customWidth="1"/>
    <col min="23" max="23" width="4.8984375" customWidth="1"/>
    <col min="24" max="24" width="5.69921875" customWidth="1"/>
    <col min="25" max="25" width="6" customWidth="1"/>
    <col min="26" max="26" width="4.8984375" customWidth="1"/>
    <col min="28" max="28" width="7.09765625" customWidth="1"/>
    <col min="29" max="29" width="16.09765625" customWidth="1"/>
    <col min="31" max="31" width="19" customWidth="1"/>
  </cols>
  <sheetData>
    <row r="3" spans="3:34"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</row>
    <row r="4" spans="3:34" ht="26.25" customHeight="1">
      <c r="D4" s="1817" t="s">
        <v>0</v>
      </c>
      <c r="E4" s="1817"/>
      <c r="F4" s="1874"/>
      <c r="G4" s="1875"/>
      <c r="H4" s="1875"/>
      <c r="I4" s="1875"/>
      <c r="J4" s="1875"/>
      <c r="K4" s="1875"/>
      <c r="L4" s="1875"/>
      <c r="M4" s="1875"/>
      <c r="N4" s="1875"/>
      <c r="O4" s="1875"/>
      <c r="P4" s="1875"/>
      <c r="Q4" s="1875"/>
      <c r="R4" s="1875"/>
      <c r="S4" s="1875"/>
      <c r="T4" s="1876"/>
      <c r="U4" s="1870"/>
      <c r="V4" s="1870"/>
      <c r="W4" s="1871"/>
      <c r="X4" s="306"/>
      <c r="Y4" s="31"/>
      <c r="Z4" s="31"/>
      <c r="AC4" s="47"/>
    </row>
    <row r="5" spans="3:34">
      <c r="D5" s="1818"/>
      <c r="E5" s="1818"/>
      <c r="F5" s="1877"/>
      <c r="G5" s="1878"/>
      <c r="H5" s="1878"/>
      <c r="I5" s="1878"/>
      <c r="J5" s="1878"/>
      <c r="K5" s="1878"/>
      <c r="L5" s="1878"/>
      <c r="M5" s="1878"/>
      <c r="N5" s="1878"/>
      <c r="O5" s="1878"/>
      <c r="P5" s="1878"/>
      <c r="Q5" s="1878"/>
      <c r="R5" s="1878"/>
      <c r="S5" s="1878"/>
      <c r="T5" s="1879"/>
      <c r="U5" s="1872"/>
      <c r="V5" s="1872"/>
      <c r="W5" s="1873"/>
      <c r="X5" s="16"/>
      <c r="Y5" s="16"/>
      <c r="Z5" s="16"/>
      <c r="AA5" s="17"/>
      <c r="AB5" s="17"/>
      <c r="AC5" s="17"/>
      <c r="AD5" s="17"/>
      <c r="AE5" s="17"/>
      <c r="AF5" s="17"/>
      <c r="AG5" s="17"/>
      <c r="AH5" s="17"/>
    </row>
    <row r="6" spans="3:34">
      <c r="D6" s="18" t="s">
        <v>1</v>
      </c>
      <c r="E6" s="19" t="s">
        <v>2</v>
      </c>
      <c r="F6" s="1890"/>
      <c r="G6" s="1891"/>
      <c r="H6" s="1892"/>
      <c r="I6" s="1893"/>
      <c r="J6" s="1894"/>
      <c r="K6" s="1895"/>
      <c r="L6" s="1893"/>
      <c r="M6" s="1894"/>
      <c r="N6" s="1895"/>
      <c r="O6" s="1890"/>
      <c r="P6" s="1891"/>
      <c r="Q6" s="1892"/>
      <c r="R6" s="1893"/>
      <c r="S6" s="1894"/>
      <c r="T6" s="1896"/>
      <c r="U6" s="1897" t="s">
        <v>3</v>
      </c>
      <c r="V6" s="1898"/>
      <c r="W6" s="1899"/>
      <c r="X6" s="1812" t="s">
        <v>4</v>
      </c>
      <c r="Y6" s="1813"/>
      <c r="Z6" s="1814"/>
      <c r="AA6" s="20" t="s">
        <v>5</v>
      </c>
      <c r="AB6" s="21" t="s">
        <v>6</v>
      </c>
      <c r="AC6" s="1" t="s">
        <v>7</v>
      </c>
      <c r="AD6" s="17"/>
      <c r="AE6" s="17"/>
      <c r="AF6" s="17"/>
      <c r="AG6" s="17"/>
      <c r="AH6" s="17"/>
    </row>
    <row r="7" spans="3:34">
      <c r="D7" s="337" t="s">
        <v>8</v>
      </c>
      <c r="E7" s="338" t="s">
        <v>9</v>
      </c>
      <c r="F7" s="93"/>
      <c r="G7" s="94"/>
      <c r="H7" s="99"/>
      <c r="I7" s="95"/>
      <c r="J7" s="96"/>
      <c r="K7" s="98"/>
      <c r="L7" s="95"/>
      <c r="M7" s="96"/>
      <c r="N7" s="98"/>
      <c r="O7" s="93"/>
      <c r="P7" s="94"/>
      <c r="Q7" s="99"/>
      <c r="R7" s="95"/>
      <c r="S7" s="96"/>
      <c r="T7" s="97"/>
      <c r="U7" s="392"/>
      <c r="V7" s="201"/>
      <c r="W7" s="284"/>
      <c r="X7" s="253"/>
      <c r="Y7" s="254"/>
      <c r="Z7" s="255"/>
      <c r="AA7" s="3">
        <f t="shared" ref="AA7:AA28" si="0">SUM(G7-F7-H7+J7-I7-K7+M7-L7-N7+P7-O7-Q7+S7-R7-T7+V7-U7-W7+Y7-X7-Z7)</f>
        <v>0</v>
      </c>
      <c r="AB7" s="4"/>
      <c r="AC7" s="5"/>
      <c r="AD7" s="17"/>
      <c r="AE7" s="60" t="s">
        <v>10</v>
      </c>
      <c r="AF7" s="17"/>
      <c r="AG7" s="17"/>
      <c r="AH7" s="17"/>
    </row>
    <row r="8" spans="3:34">
      <c r="D8" s="1815" t="s">
        <v>11</v>
      </c>
      <c r="E8" s="339" t="s">
        <v>12</v>
      </c>
      <c r="F8" s="103"/>
      <c r="G8" s="104"/>
      <c r="H8" s="110"/>
      <c r="I8" s="106"/>
      <c r="J8" s="107"/>
      <c r="K8" s="109"/>
      <c r="L8" s="106"/>
      <c r="M8" s="107"/>
      <c r="N8" s="109"/>
      <c r="O8" s="103"/>
      <c r="P8" s="104"/>
      <c r="Q8" s="110"/>
      <c r="R8" s="106"/>
      <c r="S8" s="107"/>
      <c r="T8" s="108"/>
      <c r="U8" s="120">
        <v>10.5</v>
      </c>
      <c r="V8" s="107">
        <v>20.5</v>
      </c>
      <c r="W8" s="108">
        <v>1</v>
      </c>
      <c r="X8" s="143">
        <v>10</v>
      </c>
      <c r="Y8" s="130">
        <v>20</v>
      </c>
      <c r="Z8" s="131">
        <v>1</v>
      </c>
      <c r="AA8" s="22">
        <f t="shared" si="0"/>
        <v>18</v>
      </c>
      <c r="AB8" s="9"/>
      <c r="AC8" s="6"/>
      <c r="AD8" s="17"/>
      <c r="AE8" s="62" t="s">
        <v>13</v>
      </c>
      <c r="AF8" s="1839"/>
      <c r="AG8" s="1840"/>
      <c r="AH8" s="1840"/>
    </row>
    <row r="9" spans="3:34">
      <c r="D9" s="1816"/>
      <c r="E9" s="340" t="s">
        <v>14</v>
      </c>
      <c r="F9" s="121"/>
      <c r="G9" s="122"/>
      <c r="H9" s="127"/>
      <c r="I9" s="123"/>
      <c r="J9" s="124"/>
      <c r="K9" s="126"/>
      <c r="L9" s="123"/>
      <c r="M9" s="124"/>
      <c r="N9" s="126"/>
      <c r="O9" s="121"/>
      <c r="P9" s="122"/>
      <c r="Q9" s="127"/>
      <c r="R9" s="123"/>
      <c r="S9" s="124"/>
      <c r="T9" s="125"/>
      <c r="U9" s="386"/>
      <c r="V9" s="387"/>
      <c r="W9" s="388"/>
      <c r="X9" s="146">
        <v>10</v>
      </c>
      <c r="Y9" s="133">
        <v>20</v>
      </c>
      <c r="Z9" s="134">
        <v>1</v>
      </c>
      <c r="AA9" s="7">
        <f t="shared" si="0"/>
        <v>9</v>
      </c>
      <c r="AB9" s="8"/>
      <c r="AC9" s="14"/>
      <c r="AD9" s="17"/>
      <c r="AE9" s="61" t="s">
        <v>15</v>
      </c>
      <c r="AF9" s="1859"/>
      <c r="AG9" s="1860"/>
      <c r="AH9" s="1860"/>
    </row>
    <row r="10" spans="3:34" ht="15" customHeight="1">
      <c r="D10" s="1826" t="s">
        <v>16</v>
      </c>
      <c r="E10" s="341" t="s">
        <v>17</v>
      </c>
      <c r="F10" s="139"/>
      <c r="G10" s="140"/>
      <c r="H10" s="147"/>
      <c r="I10" s="148"/>
      <c r="J10" s="141"/>
      <c r="K10" s="142"/>
      <c r="L10" s="148"/>
      <c r="M10" s="141"/>
      <c r="N10" s="149"/>
      <c r="O10" s="139"/>
      <c r="P10" s="140"/>
      <c r="Q10" s="147"/>
      <c r="R10" s="148"/>
      <c r="S10" s="141"/>
      <c r="T10" s="142"/>
      <c r="U10" s="148">
        <v>7</v>
      </c>
      <c r="V10" s="141">
        <v>17</v>
      </c>
      <c r="W10" s="142">
        <v>1</v>
      </c>
      <c r="X10" s="281"/>
      <c r="Y10" s="282"/>
      <c r="Z10" s="283"/>
      <c r="AA10" s="39">
        <f t="shared" si="0"/>
        <v>9</v>
      </c>
      <c r="AB10" s="40"/>
      <c r="AC10" s="36"/>
      <c r="AD10" s="17"/>
      <c r="AE10" s="59" t="s">
        <v>18</v>
      </c>
      <c r="AF10" s="1869"/>
      <c r="AG10" s="1860"/>
      <c r="AH10" s="1860"/>
    </row>
    <row r="11" spans="3:34">
      <c r="D11" s="1826"/>
      <c r="E11" s="342" t="s">
        <v>19</v>
      </c>
      <c r="F11" s="103"/>
      <c r="G11" s="104"/>
      <c r="H11" s="105"/>
      <c r="I11" s="106"/>
      <c r="J11" s="107"/>
      <c r="K11" s="108"/>
      <c r="L11" s="106"/>
      <c r="M11" s="107"/>
      <c r="N11" s="109"/>
      <c r="O11" s="103"/>
      <c r="P11" s="104"/>
      <c r="Q11" s="105"/>
      <c r="R11" s="106"/>
      <c r="S11" s="107"/>
      <c r="T11" s="108"/>
      <c r="U11" s="106">
        <v>10.5</v>
      </c>
      <c r="V11" s="107">
        <v>20.5</v>
      </c>
      <c r="W11" s="108">
        <v>1</v>
      </c>
      <c r="X11" s="129">
        <v>10</v>
      </c>
      <c r="Y11" s="130">
        <v>20</v>
      </c>
      <c r="Z11" s="131">
        <v>1</v>
      </c>
      <c r="AA11" s="41">
        <f t="shared" si="0"/>
        <v>18</v>
      </c>
      <c r="AB11" s="42"/>
      <c r="AC11" s="37"/>
      <c r="AD11" s="17"/>
      <c r="AE11" s="58" t="s">
        <v>20</v>
      </c>
      <c r="AF11" s="23"/>
      <c r="AG11" s="45"/>
      <c r="AH11" s="45"/>
    </row>
    <row r="12" spans="3:34">
      <c r="D12" s="1827"/>
      <c r="E12" s="343" t="s">
        <v>21</v>
      </c>
      <c r="F12" s="111"/>
      <c r="G12" s="112"/>
      <c r="H12" s="113"/>
      <c r="I12" s="114"/>
      <c r="J12" s="115"/>
      <c r="K12" s="116"/>
      <c r="L12" s="114"/>
      <c r="M12" s="115"/>
      <c r="N12" s="117"/>
      <c r="O12" s="111"/>
      <c r="P12" s="112"/>
      <c r="Q12" s="113"/>
      <c r="R12" s="114"/>
      <c r="S12" s="115"/>
      <c r="T12" s="116"/>
      <c r="U12" s="114">
        <v>10.5</v>
      </c>
      <c r="V12" s="115">
        <v>20.5</v>
      </c>
      <c r="W12" s="116">
        <v>1</v>
      </c>
      <c r="X12" s="396"/>
      <c r="Y12" s="214"/>
      <c r="Z12" s="397"/>
      <c r="AA12" s="43">
        <f t="shared" si="0"/>
        <v>9</v>
      </c>
      <c r="AB12" s="44"/>
      <c r="AC12" s="46"/>
      <c r="AD12" s="17"/>
      <c r="AE12" s="48" t="s">
        <v>22</v>
      </c>
      <c r="AF12" s="1859"/>
      <c r="AG12" s="1860"/>
      <c r="AH12" s="1860"/>
    </row>
    <row r="13" spans="3:34">
      <c r="C13" s="50"/>
      <c r="D13" s="1762" t="s">
        <v>23</v>
      </c>
      <c r="E13" s="345" t="s">
        <v>24</v>
      </c>
      <c r="F13" s="231"/>
      <c r="G13" s="232"/>
      <c r="H13" s="389"/>
      <c r="I13" s="231"/>
      <c r="J13" s="232"/>
      <c r="K13" s="233"/>
      <c r="L13" s="234"/>
      <c r="M13" s="235"/>
      <c r="N13" s="236"/>
      <c r="O13" s="231"/>
      <c r="P13" s="232"/>
      <c r="Q13" s="233"/>
      <c r="R13" s="234"/>
      <c r="S13" s="235"/>
      <c r="T13" s="236"/>
      <c r="U13" s="231">
        <v>10.5</v>
      </c>
      <c r="V13" s="232">
        <v>20.5</v>
      </c>
      <c r="W13" s="233">
        <v>1</v>
      </c>
      <c r="X13" s="393">
        <v>8</v>
      </c>
      <c r="Y13" s="394">
        <v>18</v>
      </c>
      <c r="Z13" s="395">
        <v>1</v>
      </c>
      <c r="AA13" s="13">
        <f t="shared" si="0"/>
        <v>18</v>
      </c>
      <c r="AB13" s="25"/>
      <c r="AC13" s="5"/>
      <c r="AD13" s="17"/>
      <c r="AE13" s="23"/>
      <c r="AF13" s="17"/>
      <c r="AG13" s="17"/>
      <c r="AH13" s="17"/>
    </row>
    <row r="14" spans="3:34">
      <c r="C14" s="50"/>
      <c r="D14" s="1763"/>
      <c r="E14" s="301" t="s">
        <v>25</v>
      </c>
      <c r="F14" s="103"/>
      <c r="G14" s="104"/>
      <c r="H14" s="105"/>
      <c r="I14" s="106"/>
      <c r="J14" s="107"/>
      <c r="K14" s="108"/>
      <c r="L14" s="184"/>
      <c r="M14" s="185"/>
      <c r="N14" s="270"/>
      <c r="O14" s="103"/>
      <c r="P14" s="104"/>
      <c r="Q14" s="105"/>
      <c r="R14" s="103"/>
      <c r="S14" s="104"/>
      <c r="T14" s="105"/>
      <c r="U14" s="106">
        <v>7</v>
      </c>
      <c r="V14" s="107">
        <v>16</v>
      </c>
      <c r="W14" s="108">
        <v>1</v>
      </c>
      <c r="X14" s="222"/>
      <c r="Y14" s="178"/>
      <c r="Z14" s="260"/>
      <c r="AA14" s="22">
        <f t="shared" si="0"/>
        <v>8</v>
      </c>
      <c r="AB14" s="25"/>
      <c r="AC14" s="6"/>
      <c r="AD14" s="17"/>
      <c r="AE14" s="23"/>
      <c r="AF14" s="17"/>
      <c r="AG14" s="17"/>
      <c r="AH14" s="17"/>
    </row>
    <row r="15" spans="3:34">
      <c r="C15" s="50"/>
      <c r="D15" s="1763"/>
      <c r="E15" s="301" t="s">
        <v>26</v>
      </c>
      <c r="F15" s="103"/>
      <c r="G15" s="104"/>
      <c r="H15" s="105"/>
      <c r="I15" s="106"/>
      <c r="J15" s="107"/>
      <c r="K15" s="108"/>
      <c r="L15" s="103"/>
      <c r="M15" s="104"/>
      <c r="N15" s="105"/>
      <c r="O15" s="106"/>
      <c r="P15" s="107"/>
      <c r="Q15" s="108"/>
      <c r="R15" s="129"/>
      <c r="S15" s="130"/>
      <c r="T15" s="131"/>
      <c r="U15" s="103">
        <v>10.5</v>
      </c>
      <c r="V15" s="104">
        <v>20.5</v>
      </c>
      <c r="W15" s="105">
        <v>1</v>
      </c>
      <c r="X15" s="150">
        <v>10</v>
      </c>
      <c r="Y15" s="80">
        <v>20</v>
      </c>
      <c r="Z15" s="119">
        <v>1</v>
      </c>
      <c r="AA15" s="22">
        <f t="shared" si="0"/>
        <v>18</v>
      </c>
      <c r="AB15" s="9"/>
      <c r="AC15" s="6"/>
      <c r="AD15" s="17"/>
      <c r="AE15" s="17"/>
      <c r="AF15" s="17"/>
      <c r="AG15" s="17"/>
      <c r="AH15" s="17"/>
    </row>
    <row r="16" spans="3:34">
      <c r="C16" s="50"/>
      <c r="D16" s="1763"/>
      <c r="E16" s="301" t="s">
        <v>27</v>
      </c>
      <c r="F16" s="106"/>
      <c r="G16" s="107"/>
      <c r="H16" s="108"/>
      <c r="I16" s="103"/>
      <c r="J16" s="104"/>
      <c r="K16" s="105"/>
      <c r="L16" s="106"/>
      <c r="M16" s="107"/>
      <c r="N16" s="108"/>
      <c r="O16" s="129"/>
      <c r="P16" s="130"/>
      <c r="Q16" s="131"/>
      <c r="R16" s="103"/>
      <c r="S16" s="104"/>
      <c r="T16" s="105"/>
      <c r="U16" s="103">
        <v>10.5</v>
      </c>
      <c r="V16" s="104">
        <v>20.5</v>
      </c>
      <c r="W16" s="105">
        <v>1</v>
      </c>
      <c r="X16" s="129">
        <v>10</v>
      </c>
      <c r="Y16" s="130">
        <v>20</v>
      </c>
      <c r="Z16" s="131">
        <v>1</v>
      </c>
      <c r="AA16" s="22">
        <f t="shared" si="0"/>
        <v>18</v>
      </c>
      <c r="AB16" s="9"/>
      <c r="AC16" s="6"/>
      <c r="AD16" s="17"/>
      <c r="AE16" s="17"/>
      <c r="AF16" s="17"/>
      <c r="AG16" s="17"/>
      <c r="AH16" s="17"/>
    </row>
    <row r="17" spans="3:34" ht="15" customHeight="1">
      <c r="C17" s="50"/>
      <c r="D17" s="1763"/>
      <c r="E17" s="301"/>
      <c r="F17" s="103"/>
      <c r="G17" s="104"/>
      <c r="H17" s="105"/>
      <c r="I17" s="106"/>
      <c r="J17" s="107"/>
      <c r="K17" s="108"/>
      <c r="L17" s="103"/>
      <c r="M17" s="104"/>
      <c r="N17" s="105"/>
      <c r="O17" s="103"/>
      <c r="P17" s="104"/>
      <c r="Q17" s="105"/>
      <c r="R17" s="103"/>
      <c r="S17" s="104"/>
      <c r="T17" s="105"/>
      <c r="U17" s="106">
        <v>10.5</v>
      </c>
      <c r="V17" s="107">
        <v>20.5</v>
      </c>
      <c r="W17" s="108">
        <v>1</v>
      </c>
      <c r="X17" s="222"/>
      <c r="Y17" s="178"/>
      <c r="Z17" s="260"/>
      <c r="AA17" s="22">
        <f t="shared" si="0"/>
        <v>9</v>
      </c>
      <c r="AB17" s="9"/>
      <c r="AC17" s="6"/>
      <c r="AD17" s="17"/>
      <c r="AE17" s="300"/>
      <c r="AF17" s="17"/>
      <c r="AG17" s="17"/>
      <c r="AH17" s="17"/>
    </row>
    <row r="18" spans="3:34">
      <c r="C18" s="50"/>
      <c r="D18" s="1763"/>
      <c r="E18" s="301" t="s">
        <v>28</v>
      </c>
      <c r="F18" s="103"/>
      <c r="G18" s="104"/>
      <c r="H18" s="105"/>
      <c r="I18" s="103"/>
      <c r="J18" s="104"/>
      <c r="K18" s="105"/>
      <c r="L18" s="106"/>
      <c r="M18" s="107"/>
      <c r="N18" s="108"/>
      <c r="O18" s="103"/>
      <c r="P18" s="104"/>
      <c r="Q18" s="105"/>
      <c r="R18" s="103"/>
      <c r="S18" s="104"/>
      <c r="T18" s="105"/>
      <c r="U18" s="106">
        <v>11.5</v>
      </c>
      <c r="V18" s="107">
        <v>20.5</v>
      </c>
      <c r="W18" s="108">
        <v>1</v>
      </c>
      <c r="X18" s="150">
        <v>10</v>
      </c>
      <c r="Y18" s="80">
        <v>20</v>
      </c>
      <c r="Z18" s="119">
        <v>1</v>
      </c>
      <c r="AA18" s="22">
        <f t="shared" si="0"/>
        <v>17</v>
      </c>
      <c r="AB18" s="25"/>
      <c r="AC18" s="6"/>
      <c r="AD18" s="17"/>
      <c r="AE18" s="17"/>
      <c r="AF18" s="17"/>
      <c r="AG18" s="17"/>
      <c r="AH18" s="17"/>
    </row>
    <row r="19" spans="3:34">
      <c r="C19" s="50"/>
      <c r="D19" s="1763"/>
      <c r="E19" s="302" t="s">
        <v>29</v>
      </c>
      <c r="F19" s="111"/>
      <c r="G19" s="112"/>
      <c r="H19" s="113"/>
      <c r="I19" s="285"/>
      <c r="J19" s="286"/>
      <c r="K19" s="287"/>
      <c r="L19" s="111"/>
      <c r="M19" s="112"/>
      <c r="N19" s="113"/>
      <c r="O19" s="111"/>
      <c r="P19" s="112"/>
      <c r="Q19" s="113"/>
      <c r="R19" s="114"/>
      <c r="S19" s="115"/>
      <c r="T19" s="116"/>
      <c r="U19" s="114">
        <v>10.5</v>
      </c>
      <c r="V19" s="115">
        <v>20.5</v>
      </c>
      <c r="W19" s="116">
        <v>1</v>
      </c>
      <c r="X19" s="398"/>
      <c r="Y19" s="212"/>
      <c r="Z19" s="399"/>
      <c r="AA19" s="7">
        <f t="shared" si="0"/>
        <v>9</v>
      </c>
      <c r="AB19" s="8"/>
      <c r="AC19" s="14"/>
      <c r="AD19" s="17"/>
      <c r="AE19" s="17"/>
      <c r="AF19" s="17"/>
      <c r="AG19" s="17"/>
      <c r="AH19" s="17"/>
    </row>
    <row r="20" spans="3:34">
      <c r="C20" s="50"/>
      <c r="D20" s="1825" t="s">
        <v>30</v>
      </c>
      <c r="E20" s="551" t="s">
        <v>31</v>
      </c>
      <c r="F20" s="240"/>
      <c r="G20" s="101"/>
      <c r="H20" s="138"/>
      <c r="I20" s="508"/>
      <c r="J20" s="136"/>
      <c r="K20" s="137"/>
      <c r="L20" s="240"/>
      <c r="M20" s="101"/>
      <c r="N20" s="138"/>
      <c r="O20" s="542"/>
      <c r="P20" s="293"/>
      <c r="Q20" s="294"/>
      <c r="R20" s="135"/>
      <c r="S20" s="136"/>
      <c r="T20" s="433"/>
      <c r="U20" s="508">
        <v>7</v>
      </c>
      <c r="V20" s="136">
        <v>16</v>
      </c>
      <c r="W20" s="137">
        <v>1</v>
      </c>
      <c r="X20" s="244">
        <v>12</v>
      </c>
      <c r="Y20" s="237">
        <v>20</v>
      </c>
      <c r="Z20" s="546">
        <v>1</v>
      </c>
      <c r="AA20" s="3">
        <f t="shared" si="0"/>
        <v>15</v>
      </c>
      <c r="AB20" s="264"/>
      <c r="AC20" s="268"/>
      <c r="AD20" s="17"/>
      <c r="AE20" s="17"/>
      <c r="AF20" s="17"/>
      <c r="AG20" s="17"/>
      <c r="AH20" s="17"/>
    </row>
    <row r="21" spans="3:34">
      <c r="C21" s="50"/>
      <c r="D21" s="1765"/>
      <c r="E21" s="434"/>
      <c r="F21" s="73"/>
      <c r="G21" s="74"/>
      <c r="H21" s="480"/>
      <c r="I21" s="417"/>
      <c r="J21" s="74"/>
      <c r="K21" s="75"/>
      <c r="L21" s="76"/>
      <c r="M21" s="77"/>
      <c r="N21" s="504"/>
      <c r="O21" s="417"/>
      <c r="P21" s="74"/>
      <c r="Q21" s="75"/>
      <c r="R21" s="73"/>
      <c r="S21" s="74"/>
      <c r="T21" s="480"/>
      <c r="U21" s="406">
        <v>16.5</v>
      </c>
      <c r="V21" s="77">
        <v>20.5</v>
      </c>
      <c r="W21" s="78"/>
      <c r="X21" s="79">
        <v>13</v>
      </c>
      <c r="Y21" s="80">
        <v>20</v>
      </c>
      <c r="Z21" s="81">
        <v>1</v>
      </c>
      <c r="AA21" s="22">
        <f t="shared" si="0"/>
        <v>10</v>
      </c>
      <c r="AB21" s="266"/>
      <c r="AC21" s="55"/>
      <c r="AD21" s="17"/>
      <c r="AE21" s="17"/>
      <c r="AF21" s="17"/>
      <c r="AG21" s="17"/>
      <c r="AH21" s="17"/>
    </row>
    <row r="22" spans="3:34">
      <c r="C22" s="50"/>
      <c r="D22" s="1765"/>
      <c r="E22" s="434" t="s">
        <v>32</v>
      </c>
      <c r="F22" s="73"/>
      <c r="G22" s="74"/>
      <c r="H22" s="480"/>
      <c r="I22" s="417"/>
      <c r="J22" s="74"/>
      <c r="K22" s="75"/>
      <c r="L22" s="73"/>
      <c r="M22" s="74"/>
      <c r="N22" s="480"/>
      <c r="O22" s="417"/>
      <c r="P22" s="74"/>
      <c r="Q22" s="75"/>
      <c r="R22" s="73"/>
      <c r="S22" s="74"/>
      <c r="T22" s="480"/>
      <c r="U22" s="417">
        <v>7</v>
      </c>
      <c r="V22" s="74">
        <v>16</v>
      </c>
      <c r="W22" s="75">
        <v>1</v>
      </c>
      <c r="X22" s="79">
        <v>8</v>
      </c>
      <c r="Y22" s="80">
        <v>16</v>
      </c>
      <c r="Z22" s="81">
        <v>1</v>
      </c>
      <c r="AA22" s="22">
        <f t="shared" si="0"/>
        <v>15</v>
      </c>
      <c r="AB22" s="266"/>
      <c r="AC22" s="55"/>
      <c r="AD22" s="17"/>
      <c r="AE22" s="17"/>
      <c r="AF22" s="17"/>
      <c r="AG22" s="17"/>
      <c r="AH22" s="17"/>
    </row>
    <row r="23" spans="3:34">
      <c r="C23" s="50"/>
      <c r="D23" s="1765"/>
      <c r="E23" s="434" t="s">
        <v>33</v>
      </c>
      <c r="F23" s="73"/>
      <c r="G23" s="74"/>
      <c r="H23" s="480"/>
      <c r="I23" s="417"/>
      <c r="J23" s="74"/>
      <c r="K23" s="333"/>
      <c r="L23" s="76"/>
      <c r="M23" s="77"/>
      <c r="N23" s="504"/>
      <c r="O23" s="417"/>
      <c r="P23" s="74"/>
      <c r="Q23" s="75"/>
      <c r="R23" s="76"/>
      <c r="S23" s="77"/>
      <c r="T23" s="504"/>
      <c r="U23" s="406">
        <v>12.5</v>
      </c>
      <c r="V23" s="77">
        <v>20.5</v>
      </c>
      <c r="W23" s="78">
        <v>1</v>
      </c>
      <c r="X23" s="79">
        <v>14</v>
      </c>
      <c r="Y23" s="80">
        <v>20</v>
      </c>
      <c r="Z23" s="81">
        <v>1</v>
      </c>
      <c r="AA23" s="22">
        <f t="shared" si="0"/>
        <v>12</v>
      </c>
      <c r="AB23" s="266"/>
      <c r="AC23" s="55"/>
      <c r="AD23" s="17"/>
      <c r="AE23" s="17"/>
      <c r="AF23" s="17"/>
      <c r="AG23" s="17"/>
      <c r="AH23" s="17"/>
    </row>
    <row r="24" spans="3:34">
      <c r="C24" s="50"/>
      <c r="D24" s="1765"/>
      <c r="E24" s="434"/>
      <c r="F24" s="73"/>
      <c r="G24" s="74"/>
      <c r="H24" s="480"/>
      <c r="I24" s="406"/>
      <c r="J24" s="77"/>
      <c r="K24" s="78"/>
      <c r="L24" s="76"/>
      <c r="M24" s="77"/>
      <c r="N24" s="504"/>
      <c r="O24" s="417"/>
      <c r="P24" s="74"/>
      <c r="Q24" s="75"/>
      <c r="R24" s="76"/>
      <c r="S24" s="77"/>
      <c r="T24" s="504"/>
      <c r="U24" s="406">
        <v>16.5</v>
      </c>
      <c r="V24" s="77">
        <v>20.5</v>
      </c>
      <c r="W24" s="78"/>
      <c r="X24" s="79">
        <v>13</v>
      </c>
      <c r="Y24" s="80">
        <v>20</v>
      </c>
      <c r="Z24" s="81">
        <v>1</v>
      </c>
      <c r="AA24" s="22">
        <f t="shared" si="0"/>
        <v>10</v>
      </c>
      <c r="AB24" s="266"/>
      <c r="AC24" s="55"/>
      <c r="AD24" s="17"/>
      <c r="AE24" s="17"/>
      <c r="AF24" s="17"/>
      <c r="AG24" s="17"/>
      <c r="AH24" s="17"/>
    </row>
    <row r="25" spans="3:34">
      <c r="C25" s="50"/>
      <c r="D25" s="1765"/>
      <c r="E25" s="434" t="s">
        <v>34</v>
      </c>
      <c r="F25" s="73"/>
      <c r="G25" s="74"/>
      <c r="H25" s="480"/>
      <c r="I25" s="406"/>
      <c r="J25" s="77"/>
      <c r="K25" s="78"/>
      <c r="L25" s="76"/>
      <c r="M25" s="77"/>
      <c r="N25" s="504"/>
      <c r="O25" s="417"/>
      <c r="P25" s="74"/>
      <c r="Q25" s="75"/>
      <c r="R25" s="76"/>
      <c r="S25" s="77"/>
      <c r="T25" s="504"/>
      <c r="U25" s="406">
        <v>12.5</v>
      </c>
      <c r="V25" s="77">
        <v>20.5</v>
      </c>
      <c r="W25" s="78">
        <v>1</v>
      </c>
      <c r="X25" s="79">
        <v>13</v>
      </c>
      <c r="Y25" s="80">
        <v>20</v>
      </c>
      <c r="Z25" s="81">
        <v>1</v>
      </c>
      <c r="AA25" s="22">
        <f t="shared" si="0"/>
        <v>13</v>
      </c>
      <c r="AB25" s="266"/>
      <c r="AC25" s="55"/>
      <c r="AD25" s="17"/>
      <c r="AE25" s="17"/>
      <c r="AF25" s="17"/>
      <c r="AG25" s="17"/>
      <c r="AH25" s="17"/>
    </row>
    <row r="26" spans="3:34">
      <c r="C26" s="50"/>
      <c r="D26" s="1765"/>
      <c r="E26" s="434" t="s">
        <v>35</v>
      </c>
      <c r="F26" s="73"/>
      <c r="G26" s="74"/>
      <c r="H26" s="480"/>
      <c r="I26" s="406"/>
      <c r="J26" s="77"/>
      <c r="K26" s="78"/>
      <c r="L26" s="76"/>
      <c r="M26" s="77"/>
      <c r="N26" s="504"/>
      <c r="O26" s="417"/>
      <c r="P26" s="74"/>
      <c r="Q26" s="75"/>
      <c r="R26" s="76"/>
      <c r="S26" s="77"/>
      <c r="T26" s="504"/>
      <c r="U26" s="406">
        <v>13.5</v>
      </c>
      <c r="V26" s="77">
        <v>20.5</v>
      </c>
      <c r="W26" s="78">
        <v>1</v>
      </c>
      <c r="X26" s="79">
        <v>13</v>
      </c>
      <c r="Y26" s="80">
        <v>20</v>
      </c>
      <c r="Z26" s="81">
        <v>1</v>
      </c>
      <c r="AA26" s="22">
        <f t="shared" si="0"/>
        <v>12</v>
      </c>
      <c r="AB26" s="266"/>
      <c r="AC26" s="55"/>
      <c r="AD26" s="17"/>
      <c r="AE26" s="17"/>
      <c r="AF26" s="17"/>
      <c r="AG26" s="17"/>
      <c r="AH26" s="17"/>
    </row>
    <row r="27" spans="3:34">
      <c r="C27" s="50"/>
      <c r="D27" s="1765"/>
      <c r="E27" s="434" t="s">
        <v>36</v>
      </c>
      <c r="F27" s="82"/>
      <c r="G27" s="83"/>
      <c r="H27" s="413"/>
      <c r="I27" s="90"/>
      <c r="J27" s="86"/>
      <c r="K27" s="87"/>
      <c r="L27" s="85"/>
      <c r="M27" s="86"/>
      <c r="N27" s="88"/>
      <c r="O27" s="89"/>
      <c r="P27" s="83"/>
      <c r="Q27" s="84"/>
      <c r="R27" s="85"/>
      <c r="S27" s="86"/>
      <c r="T27" s="88"/>
      <c r="U27" s="90">
        <v>13.5</v>
      </c>
      <c r="V27" s="86">
        <v>20.5</v>
      </c>
      <c r="W27" s="87">
        <v>1</v>
      </c>
      <c r="X27" s="91">
        <v>8</v>
      </c>
      <c r="Y27" s="92">
        <v>15</v>
      </c>
      <c r="Z27" s="547">
        <v>1</v>
      </c>
      <c r="AA27" s="22">
        <f t="shared" si="0"/>
        <v>12</v>
      </c>
      <c r="AB27" s="266"/>
      <c r="AC27" s="55"/>
      <c r="AD27" s="17"/>
      <c r="AE27" s="17"/>
      <c r="AF27" s="17"/>
      <c r="AG27" s="17"/>
      <c r="AH27" s="17"/>
    </row>
    <row r="28" spans="3:34" ht="15.75" customHeight="1">
      <c r="C28" s="50"/>
      <c r="D28" s="1765"/>
      <c r="E28" s="531" t="s">
        <v>37</v>
      </c>
      <c r="F28" s="73"/>
      <c r="G28" s="74"/>
      <c r="H28" s="480"/>
      <c r="I28" s="538"/>
      <c r="J28" s="532"/>
      <c r="K28" s="541"/>
      <c r="L28" s="539"/>
      <c r="M28" s="532"/>
      <c r="N28" s="540"/>
      <c r="O28" s="543"/>
      <c r="P28" s="533"/>
      <c r="Q28" s="544"/>
      <c r="R28" s="76"/>
      <c r="S28" s="77"/>
      <c r="T28" s="504"/>
      <c r="U28" s="545">
        <v>13.5</v>
      </c>
      <c r="V28" s="534">
        <v>20.5</v>
      </c>
      <c r="W28" s="550">
        <v>1</v>
      </c>
      <c r="X28" s="548">
        <v>13</v>
      </c>
      <c r="Y28" s="535">
        <v>20</v>
      </c>
      <c r="Z28" s="549">
        <v>1</v>
      </c>
      <c r="AA28" s="536">
        <f t="shared" si="0"/>
        <v>12</v>
      </c>
      <c r="AB28" s="272"/>
      <c r="AC28" s="269"/>
      <c r="AD28" s="17"/>
      <c r="AE28" s="17"/>
      <c r="AF28" s="17"/>
      <c r="AG28" s="17"/>
      <c r="AH28" s="17"/>
    </row>
    <row r="29" spans="3:34" ht="15.75" customHeight="1">
      <c r="C29" s="50"/>
      <c r="D29" s="1766"/>
      <c r="E29" s="552" t="s">
        <v>38</v>
      </c>
      <c r="F29" s="89"/>
      <c r="G29" s="83"/>
      <c r="H29" s="413"/>
      <c r="I29" s="553"/>
      <c r="J29" s="380"/>
      <c r="K29" s="381"/>
      <c r="L29" s="379"/>
      <c r="M29" s="380"/>
      <c r="N29" s="554"/>
      <c r="O29" s="555"/>
      <c r="P29" s="390"/>
      <c r="Q29" s="391"/>
      <c r="R29" s="85"/>
      <c r="S29" s="86"/>
      <c r="T29" s="88"/>
      <c r="U29" s="556"/>
      <c r="V29" s="290"/>
      <c r="W29" s="291"/>
      <c r="X29" s="288"/>
      <c r="Y29" s="289"/>
      <c r="Z29" s="557"/>
      <c r="AA29" s="23"/>
      <c r="AB29" s="23"/>
      <c r="AC29" s="17"/>
      <c r="AD29" s="17"/>
      <c r="AE29" s="17"/>
      <c r="AF29" s="17"/>
      <c r="AG29" s="17"/>
      <c r="AH29" s="17"/>
    </row>
    <row r="30" spans="3:34" ht="19.5" customHeight="1">
      <c r="C30" s="50"/>
      <c r="D30" s="32"/>
      <c r="E30" s="295"/>
      <c r="F30" s="1836">
        <f>COUNT(F7:F28)</f>
        <v>0</v>
      </c>
      <c r="G30" s="1837"/>
      <c r="H30" s="1838"/>
      <c r="I30" s="1836">
        <f t="shared" ref="I30" si="1">COUNT(I7:I28)</f>
        <v>0</v>
      </c>
      <c r="J30" s="1837"/>
      <c r="K30" s="1838"/>
      <c r="L30" s="1836">
        <f t="shared" ref="L30" si="2">COUNT(L7:L28)</f>
        <v>0</v>
      </c>
      <c r="M30" s="1837"/>
      <c r="N30" s="1838"/>
      <c r="O30" s="1836">
        <f t="shared" ref="O30" si="3">COUNT(O7:O28)</f>
        <v>0</v>
      </c>
      <c r="P30" s="1837"/>
      <c r="Q30" s="1838"/>
      <c r="R30" s="1836">
        <f t="shared" ref="R30" si="4">COUNT(R7:R28)</f>
        <v>0</v>
      </c>
      <c r="S30" s="1837"/>
      <c r="T30" s="1838"/>
      <c r="U30" s="1836">
        <f t="shared" ref="U30" si="5">COUNT(U7:U28)</f>
        <v>20</v>
      </c>
      <c r="V30" s="1837"/>
      <c r="W30" s="1838"/>
      <c r="X30" s="1836">
        <f t="shared" ref="X30" si="6">COUNT(X7:X28)</f>
        <v>16</v>
      </c>
      <c r="Y30" s="1837"/>
      <c r="Z30" s="1838"/>
      <c r="AA30" s="23"/>
      <c r="AB30" s="23"/>
      <c r="AC30" s="17"/>
      <c r="AD30" s="17"/>
      <c r="AE30" s="17"/>
      <c r="AF30" s="17"/>
      <c r="AG30" s="17"/>
      <c r="AH30" s="17"/>
    </row>
    <row r="31" spans="3:34">
      <c r="C31" s="50"/>
      <c r="D31" s="32"/>
      <c r="E31" s="295"/>
      <c r="F31" s="182"/>
      <c r="G31" s="182"/>
      <c r="H31" s="182"/>
      <c r="I31" s="296"/>
      <c r="J31" s="296"/>
      <c r="K31" s="296"/>
      <c r="L31" s="296"/>
      <c r="M31" s="296"/>
      <c r="N31" s="296"/>
      <c r="O31" s="295"/>
      <c r="P31" s="295"/>
      <c r="Q31" s="295"/>
      <c r="R31" s="144"/>
      <c r="S31" s="144"/>
      <c r="T31" s="144"/>
      <c r="U31" s="144"/>
      <c r="V31" s="144"/>
      <c r="W31" s="144"/>
      <c r="X31" s="183"/>
      <c r="Y31" s="183"/>
      <c r="Z31" s="33"/>
      <c r="AA31" s="23"/>
      <c r="AB31" s="23"/>
      <c r="AC31" s="17"/>
      <c r="AD31" s="17"/>
      <c r="AE31" s="17"/>
      <c r="AF31" s="17"/>
      <c r="AG31" s="17"/>
      <c r="AH31" s="17"/>
    </row>
    <row r="32" spans="3:34" ht="15.75" customHeight="1">
      <c r="D32" s="1817" t="str">
        <f>D4</f>
        <v xml:space="preserve">NOVIEMBRE </v>
      </c>
      <c r="E32" s="1817"/>
      <c r="F32" s="1819" t="s">
        <v>39</v>
      </c>
      <c r="G32" s="1820"/>
      <c r="H32" s="1820"/>
      <c r="I32" s="403"/>
      <c r="J32" s="404"/>
      <c r="K32" s="405"/>
      <c r="L32" s="404"/>
      <c r="M32" s="404"/>
      <c r="N32" s="404"/>
      <c r="O32" s="403"/>
      <c r="P32" s="404"/>
      <c r="Q32" s="405"/>
      <c r="R32" s="1823" t="s">
        <v>40</v>
      </c>
      <c r="S32" s="1823"/>
      <c r="T32" s="1823"/>
      <c r="U32" s="1886" t="s">
        <v>41</v>
      </c>
      <c r="V32" s="1887"/>
      <c r="W32" s="1887"/>
      <c r="X32" s="1861"/>
      <c r="Y32" s="1862"/>
      <c r="Z32" s="1863"/>
      <c r="AA32" s="35"/>
      <c r="AB32" s="35"/>
      <c r="AC32" s="34"/>
      <c r="AD32" s="17"/>
      <c r="AE32" s="17"/>
      <c r="AF32" s="17"/>
      <c r="AG32" s="17"/>
      <c r="AH32" s="17"/>
    </row>
    <row r="33" spans="3:35" ht="19.8">
      <c r="D33" s="1818"/>
      <c r="E33" s="1818"/>
      <c r="F33" s="1821"/>
      <c r="G33" s="1822"/>
      <c r="H33" s="1822"/>
      <c r="I33" s="494"/>
      <c r="J33" s="495"/>
      <c r="K33" s="496"/>
      <c r="L33" s="495"/>
      <c r="M33" s="495"/>
      <c r="N33" s="495"/>
      <c r="O33" s="494"/>
      <c r="P33" s="495"/>
      <c r="Q33" s="496"/>
      <c r="R33" s="1824"/>
      <c r="S33" s="1824"/>
      <c r="T33" s="1824"/>
      <c r="U33" s="1888"/>
      <c r="V33" s="1889"/>
      <c r="W33" s="1889"/>
      <c r="X33" s="1864"/>
      <c r="Y33" s="1865"/>
      <c r="Z33" s="1866"/>
      <c r="AA33" s="17"/>
      <c r="AB33" s="17"/>
      <c r="AC33" s="17"/>
      <c r="AD33" s="17"/>
      <c r="AE33" s="1857" t="s">
        <v>42</v>
      </c>
      <c r="AF33" s="1858"/>
      <c r="AG33" s="17"/>
      <c r="AH33" s="17"/>
    </row>
    <row r="34" spans="3:35">
      <c r="D34" s="18" t="s">
        <v>1</v>
      </c>
      <c r="E34" s="19" t="s">
        <v>2</v>
      </c>
      <c r="F34" s="1867" t="s">
        <v>43</v>
      </c>
      <c r="G34" s="1868"/>
      <c r="H34" s="1868"/>
      <c r="I34" s="1880" t="s">
        <v>44</v>
      </c>
      <c r="J34" s="1881"/>
      <c r="K34" s="1882"/>
      <c r="L34" s="1881" t="s">
        <v>45</v>
      </c>
      <c r="M34" s="1881"/>
      <c r="N34" s="1881"/>
      <c r="O34" s="1883" t="s">
        <v>46</v>
      </c>
      <c r="P34" s="1884"/>
      <c r="Q34" s="1885"/>
      <c r="R34" s="1881" t="s">
        <v>47</v>
      </c>
      <c r="S34" s="1881"/>
      <c r="T34" s="1881"/>
      <c r="U34" s="1880" t="s">
        <v>48</v>
      </c>
      <c r="V34" s="1881"/>
      <c r="W34" s="1881"/>
      <c r="X34" s="1867" t="s">
        <v>49</v>
      </c>
      <c r="Y34" s="1868"/>
      <c r="Z34" s="1868"/>
      <c r="AA34" s="18" t="s">
        <v>5</v>
      </c>
      <c r="AB34" s="21" t="s">
        <v>6</v>
      </c>
      <c r="AC34" s="1" t="s">
        <v>7</v>
      </c>
      <c r="AD34" s="17"/>
      <c r="AE34" s="29" t="s">
        <v>2</v>
      </c>
      <c r="AF34" s="29" t="s">
        <v>50</v>
      </c>
      <c r="AG34" s="17"/>
      <c r="AH34" s="17"/>
    </row>
    <row r="35" spans="3:35">
      <c r="D35" s="440" t="s">
        <v>8</v>
      </c>
      <c r="E35" s="459" t="s">
        <v>9</v>
      </c>
      <c r="F35" s="460">
        <v>10.5</v>
      </c>
      <c r="G35" s="461">
        <v>20.5</v>
      </c>
      <c r="H35" s="505">
        <v>1</v>
      </c>
      <c r="I35" s="501">
        <v>7</v>
      </c>
      <c r="J35" s="462">
        <v>17</v>
      </c>
      <c r="K35" s="502">
        <v>1</v>
      </c>
      <c r="L35" s="507"/>
      <c r="M35" s="463"/>
      <c r="N35" s="464"/>
      <c r="O35" s="465">
        <v>11.5</v>
      </c>
      <c r="P35" s="466">
        <v>20.5</v>
      </c>
      <c r="Q35" s="467">
        <v>1</v>
      </c>
      <c r="R35" s="468"/>
      <c r="S35" s="469"/>
      <c r="T35" s="519"/>
      <c r="U35" s="515">
        <v>13</v>
      </c>
      <c r="V35" s="470">
        <v>23</v>
      </c>
      <c r="W35" s="471">
        <v>1</v>
      </c>
      <c r="X35" s="639">
        <v>13</v>
      </c>
      <c r="Y35" s="640">
        <v>23</v>
      </c>
      <c r="Z35" s="641">
        <v>1</v>
      </c>
      <c r="AA35" s="18">
        <f>SUM(G35-F35-H35+J35-I35-K35+M35-L35-N35+P35-O35-Q35+S35-R35-T35+V35-U35-W35+Y35-X35-Z35)</f>
        <v>44</v>
      </c>
      <c r="AB35" s="21"/>
      <c r="AC35" s="366"/>
      <c r="AD35" s="17"/>
      <c r="AE35" s="474" t="str">
        <f>E35</f>
        <v>PAOLA SALAMANCA</v>
      </c>
      <c r="AF35" s="473">
        <f>AA7+AA35+AA62+AA89+AA119</f>
        <v>176</v>
      </c>
      <c r="AG35" s="17"/>
      <c r="AH35" s="17"/>
    </row>
    <row r="36" spans="3:35">
      <c r="C36" s="50"/>
      <c r="D36" s="1806" t="s">
        <v>11</v>
      </c>
      <c r="E36" s="442" t="s">
        <v>51</v>
      </c>
      <c r="F36" s="443">
        <v>10.5</v>
      </c>
      <c r="G36" s="444">
        <v>20.5</v>
      </c>
      <c r="H36" s="506">
        <v>1</v>
      </c>
      <c r="I36" s="249"/>
      <c r="J36" s="250"/>
      <c r="K36" s="503"/>
      <c r="L36" s="508">
        <v>11.5</v>
      </c>
      <c r="M36" s="136">
        <v>20.5</v>
      </c>
      <c r="N36" s="137">
        <v>1</v>
      </c>
      <c r="O36" s="276"/>
      <c r="P36" s="277"/>
      <c r="Q36" s="446"/>
      <c r="R36" s="447">
        <v>7</v>
      </c>
      <c r="S36" s="448">
        <v>17</v>
      </c>
      <c r="T36" s="520">
        <v>1</v>
      </c>
      <c r="U36" s="516">
        <v>13</v>
      </c>
      <c r="V36" s="449">
        <v>23</v>
      </c>
      <c r="W36" s="450">
        <v>1</v>
      </c>
      <c r="X36" s="642">
        <v>13</v>
      </c>
      <c r="Y36" s="643">
        <v>23</v>
      </c>
      <c r="Z36" s="644">
        <v>1</v>
      </c>
      <c r="AA36" s="2">
        <f>SUM(G36-F36-H36+J36-I36-K36+M36-L36-N36+P36-O36-Q36+S36-R36-T36+V36-U36-W36+Y36-X36-Z36)</f>
        <v>44</v>
      </c>
      <c r="AB36" s="441"/>
      <c r="AC36" s="368"/>
      <c r="AD36" s="17"/>
      <c r="AE36" s="475" t="str">
        <f t="shared" ref="AE36:AE54" si="7">E36</f>
        <v>OMAR SANCHEZ</v>
      </c>
      <c r="AF36" s="473">
        <f>AA8+AA36+AA63+AA90+AA120</f>
        <v>191</v>
      </c>
      <c r="AG36" s="17"/>
      <c r="AH36" s="17"/>
    </row>
    <row r="37" spans="3:35">
      <c r="C37" s="50"/>
      <c r="D37" s="1807"/>
      <c r="E37" s="451" t="s">
        <v>14</v>
      </c>
      <c r="F37" s="330">
        <v>10.5</v>
      </c>
      <c r="G37" s="331">
        <v>20.5</v>
      </c>
      <c r="H37" s="332">
        <v>1</v>
      </c>
      <c r="I37" s="242">
        <v>11.5</v>
      </c>
      <c r="J37" s="239">
        <v>20.5</v>
      </c>
      <c r="K37" s="419">
        <v>1</v>
      </c>
      <c r="L37" s="432">
        <v>6</v>
      </c>
      <c r="M37" s="238">
        <v>16</v>
      </c>
      <c r="N37" s="246">
        <v>1</v>
      </c>
      <c r="O37" s="273"/>
      <c r="P37" s="274"/>
      <c r="Q37" s="452"/>
      <c r="R37" s="453">
        <v>7</v>
      </c>
      <c r="S37" s="454">
        <v>17</v>
      </c>
      <c r="T37" s="521">
        <v>1</v>
      </c>
      <c r="U37" s="517">
        <v>13</v>
      </c>
      <c r="V37" s="455">
        <v>23</v>
      </c>
      <c r="W37" s="456">
        <v>1</v>
      </c>
      <c r="X37" s="435"/>
      <c r="Y37" s="436"/>
      <c r="Z37" s="527"/>
      <c r="AA37" s="298">
        <f>SUM(G37-F37-H37+J37-I37-K37+M37-L37-N37+P37-O37-Q37+S37-R37-T37+V37-U37-W37+Y37-X37-Z37)</f>
        <v>44</v>
      </c>
      <c r="AB37" s="500"/>
      <c r="AC37" s="369"/>
      <c r="AD37" s="17"/>
      <c r="AE37" s="478" t="str">
        <f t="shared" si="7"/>
        <v>LUIS LOPEZ</v>
      </c>
      <c r="AF37" s="473">
        <f>AA9+AA37+AA64+AA91+AA121</f>
        <v>185</v>
      </c>
      <c r="AG37" s="17"/>
      <c r="AH37" s="17"/>
    </row>
    <row r="38" spans="3:35">
      <c r="C38" s="50"/>
      <c r="D38" s="1808" t="s">
        <v>52</v>
      </c>
      <c r="E38" s="484" t="s">
        <v>19</v>
      </c>
      <c r="F38" s="70">
        <v>10.5</v>
      </c>
      <c r="G38" s="71">
        <v>20.5</v>
      </c>
      <c r="H38" s="151">
        <v>1</v>
      </c>
      <c r="I38" s="65">
        <v>10.5</v>
      </c>
      <c r="J38" s="66">
        <v>20.5</v>
      </c>
      <c r="K38" s="68">
        <v>1</v>
      </c>
      <c r="L38" s="509"/>
      <c r="M38" s="497"/>
      <c r="N38" s="513"/>
      <c r="O38" s="511"/>
      <c r="P38" s="497"/>
      <c r="Q38" s="512"/>
      <c r="R38" s="514"/>
      <c r="S38" s="498"/>
      <c r="T38" s="522"/>
      <c r="U38" s="518"/>
      <c r="V38" s="498"/>
      <c r="W38" s="522"/>
      <c r="X38" s="523"/>
      <c r="Y38" s="499"/>
      <c r="Z38" s="528"/>
      <c r="AA38" s="524">
        <f>SUM(G38-F38-H38+J38-I38-K38+M38-L38-N38+P38-O38-Q38+S38-R38-T38+V38-U38-W38+Y38-X38-Z38)</f>
        <v>18</v>
      </c>
      <c r="AB38" s="529"/>
      <c r="AC38" s="5"/>
      <c r="AD38" s="17"/>
      <c r="AE38" s="368" t="str">
        <f t="shared" si="7"/>
        <v xml:space="preserve">VALENTINA CHAPARRO </v>
      </c>
      <c r="AF38" s="476">
        <f>AA11+AA38+AA65+AA93+AA123</f>
        <v>124</v>
      </c>
      <c r="AG38" s="17"/>
      <c r="AH38" s="17"/>
    </row>
    <row r="39" spans="3:35">
      <c r="C39" s="50"/>
      <c r="D39" s="1809"/>
      <c r="E39" s="479" t="s">
        <v>21</v>
      </c>
      <c r="F39" s="173"/>
      <c r="G39" s="174"/>
      <c r="H39" s="360"/>
      <c r="I39" s="262"/>
      <c r="J39" s="171"/>
      <c r="K39" s="324"/>
      <c r="L39" s="417">
        <v>10.5</v>
      </c>
      <c r="M39" s="74">
        <v>20.5</v>
      </c>
      <c r="N39" s="75">
        <v>1</v>
      </c>
      <c r="O39" s="73">
        <v>7</v>
      </c>
      <c r="P39" s="74">
        <v>16</v>
      </c>
      <c r="Q39" s="480">
        <v>1</v>
      </c>
      <c r="R39" s="406">
        <v>10.5</v>
      </c>
      <c r="S39" s="77">
        <v>20.5</v>
      </c>
      <c r="T39" s="78">
        <v>1</v>
      </c>
      <c r="U39" s="303">
        <v>13</v>
      </c>
      <c r="V39" s="304">
        <v>23</v>
      </c>
      <c r="W39" s="305">
        <v>1</v>
      </c>
      <c r="X39" s="79">
        <v>8</v>
      </c>
      <c r="Y39" s="80">
        <v>18</v>
      </c>
      <c r="Z39" s="247">
        <v>1</v>
      </c>
      <c r="AA39" s="297">
        <f t="shared" ref="AA39:AA57" si="8">SUM(G39-F39-H39+J39-I39-K39+M39-L39-N39+P39-O39-Q39+S39-R39-T39+V39-U39-W39+Y39-X39-Z39)</f>
        <v>44</v>
      </c>
      <c r="AB39" s="457"/>
      <c r="AC39" s="6"/>
      <c r="AD39" s="17"/>
      <c r="AE39" s="6" t="str">
        <f t="shared" si="7"/>
        <v xml:space="preserve">FERNANDA RODRIGUEZ </v>
      </c>
      <c r="AF39" s="439">
        <f>AA12+AA39+AA66+AA94+AA124</f>
        <v>185</v>
      </c>
      <c r="AG39" s="23"/>
      <c r="AH39" s="17"/>
    </row>
    <row r="40" spans="3:35">
      <c r="C40" s="50"/>
      <c r="D40" s="1809"/>
      <c r="E40" s="481" t="s">
        <v>53</v>
      </c>
      <c r="F40" s="211"/>
      <c r="G40" s="212"/>
      <c r="H40" s="213"/>
      <c r="I40" s="85">
        <v>10.5</v>
      </c>
      <c r="J40" s="86">
        <v>20.5</v>
      </c>
      <c r="K40" s="88">
        <v>1</v>
      </c>
      <c r="L40" s="89">
        <v>11.5</v>
      </c>
      <c r="M40" s="83">
        <v>20.5</v>
      </c>
      <c r="N40" s="84">
        <v>1</v>
      </c>
      <c r="O40" s="82">
        <v>10.5</v>
      </c>
      <c r="P40" s="83">
        <v>20.5</v>
      </c>
      <c r="Q40" s="413">
        <v>1</v>
      </c>
      <c r="R40" s="90">
        <v>10.5</v>
      </c>
      <c r="S40" s="86">
        <v>20.5</v>
      </c>
      <c r="T40" s="87">
        <v>1</v>
      </c>
      <c r="U40" s="85">
        <v>7</v>
      </c>
      <c r="V40" s="86">
        <v>17</v>
      </c>
      <c r="W40" s="87">
        <v>1</v>
      </c>
      <c r="X40" s="211"/>
      <c r="Y40" s="212"/>
      <c r="Z40" s="213"/>
      <c r="AA40" s="525">
        <f t="shared" si="8"/>
        <v>44</v>
      </c>
      <c r="AB40" s="458"/>
      <c r="AC40" s="14"/>
      <c r="AD40" s="17"/>
      <c r="AE40" s="6" t="str">
        <f>E40</f>
        <v xml:space="preserve">DANIEL GARZON </v>
      </c>
      <c r="AF40" s="477">
        <f>AA13+AA40+AA67+AA95+AA125</f>
        <v>194</v>
      </c>
      <c r="AG40" s="17"/>
      <c r="AH40" s="17"/>
    </row>
    <row r="41" spans="3:35">
      <c r="C41" s="50"/>
      <c r="D41" s="1834"/>
      <c r="E41" s="490" t="s">
        <v>25</v>
      </c>
      <c r="F41" s="244">
        <v>8</v>
      </c>
      <c r="G41" s="237">
        <v>18</v>
      </c>
      <c r="H41" s="245">
        <v>1</v>
      </c>
      <c r="I41" s="240">
        <v>7</v>
      </c>
      <c r="J41" s="101">
        <v>17</v>
      </c>
      <c r="K41" s="138">
        <v>1</v>
      </c>
      <c r="L41" s="510"/>
      <c r="M41" s="277"/>
      <c r="N41" s="278"/>
      <c r="O41" s="135">
        <v>11.5</v>
      </c>
      <c r="P41" s="136">
        <v>20.5</v>
      </c>
      <c r="Q41" s="433">
        <v>1</v>
      </c>
      <c r="R41" s="445"/>
      <c r="S41" s="250"/>
      <c r="T41" s="263"/>
      <c r="U41" s="516">
        <v>13</v>
      </c>
      <c r="V41" s="449">
        <v>23</v>
      </c>
      <c r="W41" s="450">
        <v>1</v>
      </c>
      <c r="X41" s="642">
        <v>13</v>
      </c>
      <c r="Y41" s="643">
        <v>23</v>
      </c>
      <c r="Z41" s="644">
        <v>1</v>
      </c>
      <c r="AA41" s="2">
        <f t="shared" si="8"/>
        <v>44</v>
      </c>
      <c r="AB41" s="441"/>
      <c r="AC41" s="489"/>
      <c r="AD41" s="17"/>
      <c r="AE41" s="6" t="str">
        <f t="shared" si="7"/>
        <v xml:space="preserve">SANDY TALERO </v>
      </c>
      <c r="AF41" s="473" t="e">
        <f>AA14+AA41+AA68+#REF!+AA126</f>
        <v>#REF!</v>
      </c>
      <c r="AG41" s="17"/>
      <c r="AH41" s="17"/>
    </row>
    <row r="42" spans="3:35">
      <c r="C42" s="50"/>
      <c r="D42" s="1835"/>
      <c r="E42" s="491" t="s">
        <v>26</v>
      </c>
      <c r="F42" s="79">
        <v>10.5</v>
      </c>
      <c r="G42" s="80">
        <v>20.5</v>
      </c>
      <c r="H42" s="247">
        <v>1</v>
      </c>
      <c r="I42" s="262"/>
      <c r="J42" s="171"/>
      <c r="K42" s="324"/>
      <c r="L42" s="417">
        <v>10.5</v>
      </c>
      <c r="M42" s="74">
        <v>20.5</v>
      </c>
      <c r="N42" s="75">
        <v>1</v>
      </c>
      <c r="O42" s="225"/>
      <c r="P42" s="226"/>
      <c r="Q42" s="430"/>
      <c r="R42" s="406">
        <v>11.5</v>
      </c>
      <c r="S42" s="77">
        <v>20.5</v>
      </c>
      <c r="T42" s="78">
        <v>1</v>
      </c>
      <c r="U42" s="76">
        <v>7</v>
      </c>
      <c r="V42" s="77">
        <v>17</v>
      </c>
      <c r="W42" s="78">
        <v>1</v>
      </c>
      <c r="X42" s="79">
        <v>8</v>
      </c>
      <c r="Y42" s="80">
        <v>18</v>
      </c>
      <c r="Z42" s="247">
        <v>1</v>
      </c>
      <c r="AA42" s="297">
        <f t="shared" si="8"/>
        <v>44</v>
      </c>
      <c r="AB42" s="457"/>
      <c r="AC42" s="6"/>
      <c r="AD42" s="17"/>
      <c r="AE42" s="6" t="str">
        <f t="shared" si="7"/>
        <v xml:space="preserve">DANIEL QUIMBAYO </v>
      </c>
      <c r="AF42" s="473">
        <f>AA15+AA42+AA69+AA96+AA127</f>
        <v>150</v>
      </c>
      <c r="AG42" s="17"/>
      <c r="AH42" s="17"/>
    </row>
    <row r="43" spans="3:35">
      <c r="C43" s="50"/>
      <c r="D43" s="1835"/>
      <c r="E43" s="491" t="s">
        <v>27</v>
      </c>
      <c r="F43" s="79">
        <v>8</v>
      </c>
      <c r="G43" s="80">
        <v>18</v>
      </c>
      <c r="H43" s="247">
        <v>1</v>
      </c>
      <c r="I43" s="186">
        <v>10.5</v>
      </c>
      <c r="J43" s="187">
        <v>20.5</v>
      </c>
      <c r="K43" s="192">
        <v>1</v>
      </c>
      <c r="L43" s="170"/>
      <c r="M43" s="171"/>
      <c r="N43" s="172"/>
      <c r="O43" s="76">
        <v>11.5</v>
      </c>
      <c r="P43" s="77">
        <v>20.5</v>
      </c>
      <c r="Q43" s="504">
        <v>1</v>
      </c>
      <c r="R43" s="406">
        <v>8</v>
      </c>
      <c r="S43" s="77">
        <v>18</v>
      </c>
      <c r="T43" s="78">
        <v>1</v>
      </c>
      <c r="U43" s="303">
        <v>13</v>
      </c>
      <c r="V43" s="304">
        <v>23</v>
      </c>
      <c r="W43" s="305">
        <v>1</v>
      </c>
      <c r="X43" s="173"/>
      <c r="Y43" s="174"/>
      <c r="Z43" s="360"/>
      <c r="AA43" s="297">
        <f t="shared" si="8"/>
        <v>44</v>
      </c>
      <c r="AB43" s="457"/>
      <c r="AC43" s="6"/>
      <c r="AD43" s="17"/>
      <c r="AE43" s="6" t="str">
        <f t="shared" si="7"/>
        <v xml:space="preserve">DANIEL RESTREPO </v>
      </c>
      <c r="AF43" s="473">
        <f>AA16+AA43+AA70+AA97+AA128</f>
        <v>194</v>
      </c>
      <c r="AG43" s="17"/>
      <c r="AH43" s="17"/>
    </row>
    <row r="44" spans="3:35">
      <c r="C44" s="50"/>
      <c r="D44" s="1835"/>
      <c r="E44" s="492" t="s">
        <v>28</v>
      </c>
      <c r="F44" s="173"/>
      <c r="G44" s="174"/>
      <c r="H44" s="360"/>
      <c r="I44" s="76">
        <v>10.5</v>
      </c>
      <c r="J44" s="77">
        <v>20.5</v>
      </c>
      <c r="K44" s="504">
        <v>1</v>
      </c>
      <c r="L44" s="417">
        <v>6</v>
      </c>
      <c r="M44" s="74">
        <v>16</v>
      </c>
      <c r="N44" s="75">
        <v>1</v>
      </c>
      <c r="O44" s="76">
        <v>10.5</v>
      </c>
      <c r="P44" s="77">
        <v>20.5</v>
      </c>
      <c r="Q44" s="504">
        <v>1</v>
      </c>
      <c r="R44" s="406">
        <v>11.5</v>
      </c>
      <c r="S44" s="77">
        <v>20.5</v>
      </c>
      <c r="T44" s="78">
        <v>1</v>
      </c>
      <c r="U44" s="303">
        <v>13</v>
      </c>
      <c r="V44" s="304">
        <v>23</v>
      </c>
      <c r="W44" s="305">
        <v>1</v>
      </c>
      <c r="X44" s="173"/>
      <c r="Y44" s="174"/>
      <c r="Z44" s="360"/>
      <c r="AA44" s="297">
        <f t="shared" si="8"/>
        <v>44</v>
      </c>
      <c r="AB44" s="457"/>
      <c r="AC44" s="6"/>
      <c r="AD44" s="17"/>
      <c r="AE44" s="6" t="str">
        <f t="shared" si="7"/>
        <v xml:space="preserve">MIGUEL VEGA </v>
      </c>
      <c r="AF44" s="473">
        <f>AA18+AA44+AA72+AA100+AA130</f>
        <v>193</v>
      </c>
      <c r="AG44" s="17"/>
      <c r="AH44" s="17"/>
    </row>
    <row r="45" spans="3:35">
      <c r="C45" s="50"/>
      <c r="D45" s="1835"/>
      <c r="E45" s="491" t="s">
        <v>29</v>
      </c>
      <c r="F45" s="79">
        <v>10.5</v>
      </c>
      <c r="G45" s="80">
        <v>20.5</v>
      </c>
      <c r="H45" s="247">
        <v>1</v>
      </c>
      <c r="I45" s="225"/>
      <c r="J45" s="226"/>
      <c r="K45" s="430"/>
      <c r="L45" s="406">
        <v>11.5</v>
      </c>
      <c r="M45" s="77">
        <v>20.5</v>
      </c>
      <c r="N45" s="78">
        <v>1</v>
      </c>
      <c r="O45" s="76">
        <v>7</v>
      </c>
      <c r="P45" s="77">
        <v>17</v>
      </c>
      <c r="Q45" s="504">
        <v>1</v>
      </c>
      <c r="R45" s="170"/>
      <c r="S45" s="171"/>
      <c r="T45" s="172"/>
      <c r="U45" s="303">
        <v>13</v>
      </c>
      <c r="V45" s="304">
        <v>23</v>
      </c>
      <c r="W45" s="305">
        <v>1</v>
      </c>
      <c r="X45" s="79">
        <v>8</v>
      </c>
      <c r="Y45" s="80">
        <v>18</v>
      </c>
      <c r="Z45" s="247">
        <v>1</v>
      </c>
      <c r="AA45" s="297">
        <f t="shared" si="8"/>
        <v>44</v>
      </c>
      <c r="AB45" s="457"/>
      <c r="AC45" s="6"/>
      <c r="AD45" s="17"/>
      <c r="AE45" s="6" t="str">
        <f t="shared" si="7"/>
        <v>JUAN CAMILO CORTES</v>
      </c>
      <c r="AF45" s="473">
        <f>AA19+AA45+AA74+AA101+AA131</f>
        <v>185</v>
      </c>
      <c r="AG45" s="17"/>
      <c r="AH45" s="17"/>
    </row>
    <row r="46" spans="3:35">
      <c r="C46" s="50"/>
      <c r="D46" s="1835"/>
      <c r="E46" s="493" t="s">
        <v>54</v>
      </c>
      <c r="F46" s="173"/>
      <c r="G46" s="174"/>
      <c r="H46" s="360"/>
      <c r="I46" s="76">
        <v>10.5</v>
      </c>
      <c r="J46" s="77">
        <v>20.5</v>
      </c>
      <c r="K46" s="504">
        <v>1</v>
      </c>
      <c r="L46" s="417">
        <v>10.5</v>
      </c>
      <c r="M46" s="74">
        <v>20.5</v>
      </c>
      <c r="N46" s="75">
        <v>1</v>
      </c>
      <c r="O46" s="225"/>
      <c r="P46" s="226"/>
      <c r="Q46" s="430"/>
      <c r="R46" s="406">
        <v>11.5</v>
      </c>
      <c r="S46" s="77">
        <v>20.5</v>
      </c>
      <c r="T46" s="78">
        <v>1</v>
      </c>
      <c r="U46" s="612">
        <v>13</v>
      </c>
      <c r="V46" s="613">
        <v>23</v>
      </c>
      <c r="W46" s="614">
        <v>1</v>
      </c>
      <c r="X46" s="615"/>
      <c r="Y46" s="616"/>
      <c r="Z46" s="617"/>
      <c r="AA46" s="297">
        <f>SUM(G46-F46-H46+J46-I46-K46+M46-L46-N46+P46-O46-Q46+S46-R46-T46+V46-U46-W46+Y46-X46-Z46)</f>
        <v>35</v>
      </c>
      <c r="AB46" s="457"/>
      <c r="AC46" s="6"/>
      <c r="AD46" s="17"/>
      <c r="AE46" s="6" t="str">
        <f>E46</f>
        <v>MARIA SERRANO</v>
      </c>
      <c r="AF46" s="473">
        <f>AA20+AA46+AA75+AA105+AA132</f>
        <v>166</v>
      </c>
      <c r="AG46" s="17"/>
      <c r="AH46" s="17"/>
    </row>
    <row r="47" spans="3:35">
      <c r="C47" s="50"/>
      <c r="D47" s="1835"/>
      <c r="E47" s="492" t="s">
        <v>55</v>
      </c>
      <c r="F47" s="211"/>
      <c r="G47" s="212"/>
      <c r="H47" s="213"/>
      <c r="I47" s="85">
        <v>10.5</v>
      </c>
      <c r="J47" s="86">
        <v>20.5</v>
      </c>
      <c r="K47" s="88">
        <v>1</v>
      </c>
      <c r="L47" s="90">
        <v>11.5</v>
      </c>
      <c r="M47" s="86">
        <v>20.5</v>
      </c>
      <c r="N47" s="87">
        <v>1</v>
      </c>
      <c r="O47" s="82">
        <v>10.5</v>
      </c>
      <c r="P47" s="83">
        <v>20.5</v>
      </c>
      <c r="Q47" s="413">
        <v>1</v>
      </c>
      <c r="R47" s="90">
        <v>10.5</v>
      </c>
      <c r="S47" s="86">
        <v>20.5</v>
      </c>
      <c r="T47" s="87">
        <v>1</v>
      </c>
      <c r="U47" s="85">
        <v>7</v>
      </c>
      <c r="V47" s="86">
        <v>17</v>
      </c>
      <c r="W47" s="87">
        <v>1</v>
      </c>
      <c r="X47" s="211"/>
      <c r="Y47" s="212"/>
      <c r="Z47" s="213"/>
      <c r="AA47" s="525">
        <f t="shared" si="8"/>
        <v>44</v>
      </c>
      <c r="AB47" s="458"/>
      <c r="AC47" s="14"/>
      <c r="AD47" s="17"/>
      <c r="AE47" s="14" t="str">
        <f>E47</f>
        <v>JESSICA MORENO</v>
      </c>
      <c r="AF47" s="476">
        <f>AA21+AA47+AA76+AA106+AA133</f>
        <v>150</v>
      </c>
      <c r="AG47" s="17"/>
      <c r="AH47" s="17"/>
    </row>
    <row r="48" spans="3:35">
      <c r="C48" s="50"/>
      <c r="D48" s="1830" t="s">
        <v>30</v>
      </c>
      <c r="E48" s="694" t="s">
        <v>31</v>
      </c>
      <c r="F48" s="244">
        <v>13.5</v>
      </c>
      <c r="G48" s="237">
        <v>20.5</v>
      </c>
      <c r="H48" s="546">
        <v>1</v>
      </c>
      <c r="I48" s="445"/>
      <c r="J48" s="250"/>
      <c r="K48" s="263"/>
      <c r="L48" s="249"/>
      <c r="M48" s="250"/>
      <c r="N48" s="503"/>
      <c r="O48" s="100">
        <v>16.5</v>
      </c>
      <c r="P48" s="101">
        <v>20.5</v>
      </c>
      <c r="Q48" s="102"/>
      <c r="R48" s="240">
        <v>16.5</v>
      </c>
      <c r="S48" s="101">
        <v>20.5</v>
      </c>
      <c r="T48" s="138"/>
      <c r="U48" s="565">
        <v>15</v>
      </c>
      <c r="V48" s="449">
        <v>23</v>
      </c>
      <c r="W48" s="450">
        <v>1</v>
      </c>
      <c r="X48" s="642">
        <v>17</v>
      </c>
      <c r="Y48" s="643">
        <v>23</v>
      </c>
      <c r="Z48" s="644"/>
      <c r="AA48" s="2">
        <f t="shared" si="8"/>
        <v>27</v>
      </c>
      <c r="AB48" s="441"/>
      <c r="AC48" s="368"/>
      <c r="AD48" s="17"/>
      <c r="AE48" s="10" t="str">
        <f t="shared" si="7"/>
        <v xml:space="preserve">MARIA GARCIA </v>
      </c>
      <c r="AF48" s="367">
        <f t="shared" ref="AF48:AF55" si="9">AA20+AA48+AA76+AA105+AA132</f>
        <v>140</v>
      </c>
      <c r="AG48" s="365">
        <v>120</v>
      </c>
      <c r="AH48" s="368">
        <f>AG48-AF48</f>
        <v>-20</v>
      </c>
      <c r="AI48" s="50"/>
    </row>
    <row r="49" spans="3:35">
      <c r="C49" s="50"/>
      <c r="D49" s="1831"/>
      <c r="E49" s="695" t="s">
        <v>32</v>
      </c>
      <c r="F49" s="173"/>
      <c r="G49" s="174"/>
      <c r="H49" s="175"/>
      <c r="I49" s="418"/>
      <c r="J49" s="226"/>
      <c r="K49" s="248"/>
      <c r="L49" s="225"/>
      <c r="M49" s="226"/>
      <c r="N49" s="430"/>
      <c r="O49" s="418"/>
      <c r="P49" s="226"/>
      <c r="Q49" s="248"/>
      <c r="R49" s="225"/>
      <c r="S49" s="226"/>
      <c r="T49" s="430"/>
      <c r="U49" s="418"/>
      <c r="V49" s="226"/>
      <c r="W49" s="248"/>
      <c r="X49" s="173"/>
      <c r="Y49" s="174"/>
      <c r="Z49" s="360"/>
      <c r="AA49" s="297">
        <f t="shared" si="8"/>
        <v>0</v>
      </c>
      <c r="AB49" s="457"/>
      <c r="AC49" s="6"/>
      <c r="AD49" s="17"/>
      <c r="AE49" s="11" t="str">
        <f>E49</f>
        <v>EDUARDO SANCHEZ</v>
      </c>
      <c r="AF49" s="707">
        <f t="shared" si="9"/>
        <v>118</v>
      </c>
      <c r="AG49" s="709">
        <v>95</v>
      </c>
      <c r="AH49" s="6">
        <f>AG49-AF49</f>
        <v>-23</v>
      </c>
      <c r="AI49" s="50"/>
    </row>
    <row r="50" spans="3:35">
      <c r="C50" s="50"/>
      <c r="D50" s="1831"/>
      <c r="E50" s="695" t="s">
        <v>33</v>
      </c>
      <c r="F50" s="79">
        <v>12.5</v>
      </c>
      <c r="G50" s="80">
        <v>20.5</v>
      </c>
      <c r="H50" s="81">
        <v>1</v>
      </c>
      <c r="I50" s="418"/>
      <c r="J50" s="226"/>
      <c r="K50" s="248"/>
      <c r="L50" s="73">
        <v>16.5</v>
      </c>
      <c r="M50" s="74">
        <v>20.5</v>
      </c>
      <c r="N50" s="480"/>
      <c r="O50" s="417">
        <v>7</v>
      </c>
      <c r="P50" s="74">
        <v>11</v>
      </c>
      <c r="Q50" s="75"/>
      <c r="R50" s="376"/>
      <c r="S50" s="377"/>
      <c r="T50" s="564"/>
      <c r="U50" s="417">
        <v>12.5</v>
      </c>
      <c r="V50" s="74">
        <v>20.5</v>
      </c>
      <c r="W50" s="75">
        <v>1</v>
      </c>
      <c r="X50" s="173"/>
      <c r="Y50" s="174"/>
      <c r="Z50" s="360"/>
      <c r="AA50" s="297">
        <f t="shared" si="8"/>
        <v>22</v>
      </c>
      <c r="AB50" s="457"/>
      <c r="AC50" s="6"/>
      <c r="AD50" s="17"/>
      <c r="AE50" s="11" t="str">
        <f t="shared" si="7"/>
        <v>SERGIO EMILIANI</v>
      </c>
      <c r="AF50" s="707">
        <f t="shared" si="9"/>
        <v>134</v>
      </c>
      <c r="AG50" s="362">
        <v>120</v>
      </c>
      <c r="AH50" s="6">
        <f t="shared" ref="AH50:AH57" si="10">AG50-AF50</f>
        <v>-14</v>
      </c>
      <c r="AI50" s="50"/>
    </row>
    <row r="51" spans="3:35">
      <c r="C51" s="50"/>
      <c r="D51" s="1831"/>
      <c r="E51" s="695" t="s">
        <v>34</v>
      </c>
      <c r="F51" s="79">
        <v>13.5</v>
      </c>
      <c r="G51" s="80">
        <v>20.5</v>
      </c>
      <c r="H51" s="81">
        <v>1</v>
      </c>
      <c r="I51" s="406">
        <v>16.5</v>
      </c>
      <c r="J51" s="77">
        <v>20.5</v>
      </c>
      <c r="K51" s="78"/>
      <c r="L51" s="225"/>
      <c r="M51" s="226"/>
      <c r="N51" s="430"/>
      <c r="O51" s="417">
        <v>16.5</v>
      </c>
      <c r="P51" s="74">
        <v>20.5</v>
      </c>
      <c r="Q51" s="75"/>
      <c r="R51" s="225"/>
      <c r="S51" s="226"/>
      <c r="T51" s="430"/>
      <c r="U51" s="406">
        <v>7</v>
      </c>
      <c r="V51" s="77">
        <v>16</v>
      </c>
      <c r="W51" s="78">
        <v>1</v>
      </c>
      <c r="X51" s="79">
        <v>10</v>
      </c>
      <c r="Y51" s="80">
        <v>19</v>
      </c>
      <c r="Z51" s="247">
        <v>1</v>
      </c>
      <c r="AA51" s="297">
        <f t="shared" si="8"/>
        <v>30</v>
      </c>
      <c r="AB51" s="457"/>
      <c r="AC51" s="6"/>
      <c r="AD51" s="17"/>
      <c r="AE51" s="11" t="str">
        <f t="shared" si="7"/>
        <v>SEBASTIAN GARCIA</v>
      </c>
      <c r="AF51" s="707">
        <f t="shared" si="9"/>
        <v>127</v>
      </c>
      <c r="AG51" s="362">
        <v>120</v>
      </c>
      <c r="AH51" s="6">
        <f t="shared" si="10"/>
        <v>-7</v>
      </c>
      <c r="AI51" s="50"/>
    </row>
    <row r="52" spans="3:35">
      <c r="C52" s="50"/>
      <c r="D52" s="1831"/>
      <c r="E52" s="695" t="s">
        <v>35</v>
      </c>
      <c r="F52" s="437">
        <v>16.5</v>
      </c>
      <c r="G52" s="438">
        <v>20.5</v>
      </c>
      <c r="H52" s="701"/>
      <c r="I52" s="417">
        <v>16.5</v>
      </c>
      <c r="J52" s="74">
        <v>20.5</v>
      </c>
      <c r="K52" s="75"/>
      <c r="L52" s="73">
        <v>6</v>
      </c>
      <c r="M52" s="74">
        <v>12</v>
      </c>
      <c r="N52" s="480"/>
      <c r="O52" s="418"/>
      <c r="P52" s="226"/>
      <c r="Q52" s="248"/>
      <c r="R52" s="73">
        <v>7</v>
      </c>
      <c r="S52" s="74">
        <v>12</v>
      </c>
      <c r="T52" s="480"/>
      <c r="U52" s="417">
        <v>7</v>
      </c>
      <c r="V52" s="74">
        <v>16</v>
      </c>
      <c r="W52" s="75">
        <v>1</v>
      </c>
      <c r="X52" s="79">
        <v>8</v>
      </c>
      <c r="Y52" s="80">
        <v>17</v>
      </c>
      <c r="Z52" s="247">
        <v>1</v>
      </c>
      <c r="AA52" s="297">
        <f t="shared" si="8"/>
        <v>35</v>
      </c>
      <c r="AB52" s="457"/>
      <c r="AC52" s="6"/>
      <c r="AD52" s="17"/>
      <c r="AE52" s="11" t="str">
        <f t="shared" si="7"/>
        <v>DANIEL RODRIGUEZ</v>
      </c>
      <c r="AF52" s="707">
        <f t="shared" si="9"/>
        <v>119</v>
      </c>
      <c r="AG52" s="362">
        <v>120</v>
      </c>
      <c r="AH52" s="6">
        <f t="shared" si="10"/>
        <v>1</v>
      </c>
      <c r="AI52" s="50"/>
    </row>
    <row r="53" spans="3:35">
      <c r="C53" s="50"/>
      <c r="D53" s="1831"/>
      <c r="E53" s="695" t="s">
        <v>36</v>
      </c>
      <c r="F53" s="79">
        <v>8</v>
      </c>
      <c r="G53" s="80">
        <v>16</v>
      </c>
      <c r="H53" s="81">
        <v>1</v>
      </c>
      <c r="I53" s="417">
        <v>7</v>
      </c>
      <c r="J53" s="74">
        <v>12</v>
      </c>
      <c r="K53" s="75"/>
      <c r="L53" s="262"/>
      <c r="M53" s="171"/>
      <c r="N53" s="324"/>
      <c r="O53" s="406">
        <v>16.5</v>
      </c>
      <c r="P53" s="77">
        <v>20.5</v>
      </c>
      <c r="Q53" s="78"/>
      <c r="R53" s="76">
        <v>16.5</v>
      </c>
      <c r="S53" s="77">
        <v>20.5</v>
      </c>
      <c r="T53" s="504"/>
      <c r="U53" s="417">
        <v>12.5</v>
      </c>
      <c r="V53" s="74">
        <v>20.5</v>
      </c>
      <c r="W53" s="75">
        <v>1</v>
      </c>
      <c r="X53" s="79">
        <v>11</v>
      </c>
      <c r="Y53" s="80">
        <v>20</v>
      </c>
      <c r="Z53" s="247">
        <v>1</v>
      </c>
      <c r="AA53" s="297">
        <f t="shared" si="8"/>
        <v>35</v>
      </c>
      <c r="AB53" s="457"/>
      <c r="AC53" s="6"/>
      <c r="AD53" s="17"/>
      <c r="AE53" s="11" t="str">
        <f t="shared" si="7"/>
        <v>MATEO PARRA</v>
      </c>
      <c r="AF53" s="707">
        <f t="shared" si="9"/>
        <v>127</v>
      </c>
      <c r="AG53" s="362">
        <v>120</v>
      </c>
      <c r="AH53" s="6">
        <f t="shared" si="10"/>
        <v>-7</v>
      </c>
      <c r="AI53" s="50"/>
    </row>
    <row r="54" spans="3:35">
      <c r="C54" s="50"/>
      <c r="D54" s="1831"/>
      <c r="E54" s="695" t="s">
        <v>37</v>
      </c>
      <c r="F54" s="79">
        <v>10</v>
      </c>
      <c r="G54" s="80">
        <v>19</v>
      </c>
      <c r="H54" s="81">
        <v>1</v>
      </c>
      <c r="I54" s="418"/>
      <c r="J54" s="226"/>
      <c r="K54" s="248"/>
      <c r="L54" s="73">
        <v>16.5</v>
      </c>
      <c r="M54" s="74">
        <v>20.5</v>
      </c>
      <c r="N54" s="480"/>
      <c r="O54" s="418"/>
      <c r="P54" s="226"/>
      <c r="Q54" s="248"/>
      <c r="R54" s="76">
        <v>14.5</v>
      </c>
      <c r="S54" s="77">
        <v>20.5</v>
      </c>
      <c r="T54" s="504">
        <v>1</v>
      </c>
      <c r="U54" s="705">
        <v>17</v>
      </c>
      <c r="V54" s="401">
        <v>23</v>
      </c>
      <c r="W54" s="402"/>
      <c r="X54" s="79">
        <v>11</v>
      </c>
      <c r="Y54" s="80">
        <v>20</v>
      </c>
      <c r="Z54" s="247">
        <v>1</v>
      </c>
      <c r="AA54" s="297">
        <f t="shared" si="8"/>
        <v>31</v>
      </c>
      <c r="AB54" s="457"/>
      <c r="AC54" s="6"/>
      <c r="AD54" s="17"/>
      <c r="AE54" s="706" t="str">
        <f t="shared" si="7"/>
        <v>JULIANA FLOREZ</v>
      </c>
      <c r="AF54" s="707">
        <f t="shared" si="9"/>
        <v>116</v>
      </c>
      <c r="AG54" s="364">
        <v>120</v>
      </c>
      <c r="AH54" s="14">
        <f t="shared" si="10"/>
        <v>4</v>
      </c>
      <c r="AI54" s="50"/>
    </row>
    <row r="55" spans="3:35">
      <c r="C55" s="50"/>
      <c r="D55" s="1831"/>
      <c r="E55" s="695" t="s">
        <v>38</v>
      </c>
      <c r="F55" s="700"/>
      <c r="G55" s="699"/>
      <c r="H55" s="702"/>
      <c r="I55" s="697"/>
      <c r="J55" s="377"/>
      <c r="K55" s="378"/>
      <c r="L55" s="73">
        <v>15.5</v>
      </c>
      <c r="M55" s="74">
        <v>20.5</v>
      </c>
      <c r="N55" s="480"/>
      <c r="O55" s="418"/>
      <c r="P55" s="226"/>
      <c r="Q55" s="248"/>
      <c r="R55" s="76">
        <v>16.5</v>
      </c>
      <c r="S55" s="77">
        <v>20.5</v>
      </c>
      <c r="T55" s="504"/>
      <c r="U55" s="417">
        <v>14.5</v>
      </c>
      <c r="V55" s="74">
        <v>20.5</v>
      </c>
      <c r="W55" s="75">
        <v>1</v>
      </c>
      <c r="X55" s="79">
        <v>11</v>
      </c>
      <c r="Y55" s="80">
        <v>20</v>
      </c>
      <c r="Z55" s="247">
        <v>1</v>
      </c>
      <c r="AA55" s="297">
        <f t="shared" si="8"/>
        <v>22</v>
      </c>
      <c r="AB55" s="457"/>
      <c r="AC55" s="6"/>
      <c r="AD55" s="17"/>
      <c r="AE55" s="706" t="s">
        <v>38</v>
      </c>
      <c r="AF55" s="708">
        <f t="shared" si="9"/>
        <v>112</v>
      </c>
      <c r="AG55" s="364"/>
      <c r="AH55" s="14">
        <f t="shared" si="10"/>
        <v>-112</v>
      </c>
      <c r="AI55" s="50"/>
    </row>
    <row r="56" spans="3:35">
      <c r="C56" s="50"/>
      <c r="D56" s="1831"/>
      <c r="E56" s="695"/>
      <c r="F56" s="700"/>
      <c r="G56" s="699"/>
      <c r="H56" s="702"/>
      <c r="I56" s="697"/>
      <c r="J56" s="377"/>
      <c r="K56" s="378"/>
      <c r="L56" s="73"/>
      <c r="M56" s="74"/>
      <c r="N56" s="480"/>
      <c r="O56" s="418"/>
      <c r="P56" s="226"/>
      <c r="Q56" s="248"/>
      <c r="R56" s="76"/>
      <c r="S56" s="77"/>
      <c r="T56" s="504"/>
      <c r="U56" s="417"/>
      <c r="V56" s="74"/>
      <c r="W56" s="75"/>
      <c r="X56" s="79"/>
      <c r="Y56" s="80"/>
      <c r="Z56" s="247"/>
      <c r="AA56" s="297">
        <f t="shared" si="8"/>
        <v>0</v>
      </c>
      <c r="AB56" s="457"/>
      <c r="AC56" s="6"/>
      <c r="AD56" s="17"/>
      <c r="AE56" s="11" t="s">
        <v>56</v>
      </c>
      <c r="AF56" s="708">
        <f>AA113+AA140</f>
        <v>53</v>
      </c>
      <c r="AG56" s="362">
        <v>56</v>
      </c>
      <c r="AH56" s="14">
        <f t="shared" si="10"/>
        <v>3</v>
      </c>
      <c r="AI56" s="50"/>
    </row>
    <row r="57" spans="3:35">
      <c r="C57" s="50"/>
      <c r="D57" s="1832"/>
      <c r="E57" s="561"/>
      <c r="F57" s="566"/>
      <c r="G57" s="567"/>
      <c r="H57" s="703"/>
      <c r="I57" s="704"/>
      <c r="J57" s="568"/>
      <c r="K57" s="569"/>
      <c r="L57" s="241"/>
      <c r="M57" s="238"/>
      <c r="N57" s="537"/>
      <c r="O57" s="563"/>
      <c r="P57" s="274"/>
      <c r="Q57" s="275"/>
      <c r="R57" s="242"/>
      <c r="S57" s="239"/>
      <c r="T57" s="419"/>
      <c r="U57" s="432"/>
      <c r="V57" s="238"/>
      <c r="W57" s="246"/>
      <c r="X57" s="330"/>
      <c r="Y57" s="331"/>
      <c r="Z57" s="332"/>
      <c r="AA57" s="297">
        <f t="shared" si="8"/>
        <v>0</v>
      </c>
      <c r="AB57" s="500"/>
      <c r="AC57" s="369"/>
      <c r="AD57" s="17"/>
      <c r="AE57" s="12" t="s">
        <v>57</v>
      </c>
      <c r="AF57" s="708">
        <f>AA114+AA141</f>
        <v>46</v>
      </c>
      <c r="AG57" s="363">
        <v>56</v>
      </c>
      <c r="AH57" s="14">
        <f t="shared" si="10"/>
        <v>10</v>
      </c>
      <c r="AI57" s="50"/>
    </row>
    <row r="58" spans="3:35">
      <c r="C58" s="50"/>
      <c r="D58" s="32"/>
      <c r="E58" s="17"/>
      <c r="F58" s="1828">
        <f t="shared" ref="F58" si="11">COUNT(F35:F55)</f>
        <v>14</v>
      </c>
      <c r="G58" s="1829"/>
      <c r="H58" s="1829"/>
      <c r="I58" s="1828">
        <f t="shared" ref="I58" si="12">COUNT(I35:I55)</f>
        <v>12</v>
      </c>
      <c r="J58" s="1829"/>
      <c r="K58" s="1829"/>
      <c r="L58" s="1828">
        <f t="shared" ref="L58" si="13">COUNT(L35:L55)</f>
        <v>13</v>
      </c>
      <c r="M58" s="1829"/>
      <c r="N58" s="1829"/>
      <c r="O58" s="1828">
        <f t="shared" ref="O58" si="14">COUNT(O35:O55)</f>
        <v>12</v>
      </c>
      <c r="P58" s="1829"/>
      <c r="Q58" s="1829"/>
      <c r="R58" s="1828">
        <f t="shared" ref="R58" si="15">COUNT(R35:R55)</f>
        <v>14</v>
      </c>
      <c r="S58" s="1829"/>
      <c r="T58" s="1829"/>
      <c r="U58" s="1828">
        <f>COUNT(U35:U55)</f>
        <v>19</v>
      </c>
      <c r="V58" s="1829"/>
      <c r="W58" s="1833"/>
      <c r="X58" s="1829">
        <f>COUNT(X35:X55)</f>
        <v>12</v>
      </c>
      <c r="Y58" s="1829"/>
      <c r="Z58" s="1833"/>
      <c r="AA58" s="23"/>
      <c r="AB58" s="23"/>
      <c r="AC58" s="17"/>
      <c r="AD58" s="17"/>
      <c r="AE58" s="17"/>
      <c r="AF58" s="23"/>
      <c r="AG58" s="23"/>
      <c r="AH58" s="17"/>
    </row>
    <row r="59" spans="3:35" ht="3" customHeight="1">
      <c r="C59" s="50"/>
      <c r="D59" s="32"/>
      <c r="E59" s="17"/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  <c r="AA59" s="23"/>
      <c r="AB59" s="23"/>
      <c r="AC59" s="17"/>
      <c r="AD59" s="17"/>
      <c r="AE59" s="17"/>
      <c r="AF59" s="23"/>
      <c r="AG59" s="23"/>
      <c r="AH59" s="17"/>
    </row>
    <row r="60" spans="3:35" ht="41.25" customHeight="1">
      <c r="C60" s="50"/>
      <c r="D60" s="1817" t="str">
        <f>D32</f>
        <v xml:space="preserve">NOVIEMBRE </v>
      </c>
      <c r="E60" s="1847"/>
      <c r="F60" s="1848" t="s">
        <v>58</v>
      </c>
      <c r="G60" s="1849"/>
      <c r="H60" s="1850"/>
      <c r="I60" s="1844" t="s">
        <v>59</v>
      </c>
      <c r="J60" s="1845"/>
      <c r="K60" s="1846"/>
      <c r="L60" s="1851" t="s">
        <v>60</v>
      </c>
      <c r="M60" s="1773"/>
      <c r="N60" s="1774"/>
      <c r="O60" s="1844"/>
      <c r="P60" s="1845"/>
      <c r="Q60" s="1846"/>
      <c r="R60" s="1844"/>
      <c r="S60" s="1845"/>
      <c r="T60" s="1846"/>
      <c r="U60" s="1900" t="s">
        <v>61</v>
      </c>
      <c r="V60" s="1901"/>
      <c r="W60" s="1902"/>
      <c r="X60" s="16"/>
      <c r="Y60" s="16"/>
      <c r="Z60" s="16"/>
      <c r="AA60" s="17"/>
      <c r="AB60" s="17"/>
      <c r="AC60" s="17"/>
      <c r="AD60" s="17"/>
      <c r="AE60" s="17"/>
      <c r="AF60" s="17"/>
      <c r="AG60" s="17"/>
      <c r="AH60" s="17"/>
    </row>
    <row r="61" spans="3:35">
      <c r="C61" s="50"/>
      <c r="D61" s="179" t="s">
        <v>1</v>
      </c>
      <c r="E61" s="180" t="s">
        <v>2</v>
      </c>
      <c r="F61" s="1926" t="s">
        <v>62</v>
      </c>
      <c r="G61" s="1927"/>
      <c r="H61" s="1928"/>
      <c r="I61" s="1910" t="s">
        <v>63</v>
      </c>
      <c r="J61" s="1910"/>
      <c r="K61" s="1910"/>
      <c r="L61" s="1909" t="s">
        <v>64</v>
      </c>
      <c r="M61" s="1910"/>
      <c r="N61" s="1924"/>
      <c r="O61" s="1912" t="s">
        <v>65</v>
      </c>
      <c r="P61" s="1912"/>
      <c r="Q61" s="1912"/>
      <c r="R61" s="1909" t="s">
        <v>66</v>
      </c>
      <c r="S61" s="1910"/>
      <c r="T61" s="1924"/>
      <c r="U61" s="1910" t="s">
        <v>67</v>
      </c>
      <c r="V61" s="1910"/>
      <c r="W61" s="1925"/>
      <c r="X61" s="1853" t="s">
        <v>68</v>
      </c>
      <c r="Y61" s="1854"/>
      <c r="Z61" s="1854"/>
      <c r="AA61" s="18" t="s">
        <v>5</v>
      </c>
      <c r="AB61" s="21" t="s">
        <v>6</v>
      </c>
      <c r="AC61" s="18" t="s">
        <v>7</v>
      </c>
      <c r="AD61" s="17"/>
      <c r="AE61" s="17"/>
      <c r="AF61" s="17"/>
      <c r="AG61" s="17"/>
      <c r="AH61" s="17"/>
    </row>
    <row r="62" spans="3:35">
      <c r="C62" s="50"/>
      <c r="D62" s="440" t="s">
        <v>8</v>
      </c>
      <c r="E62" s="459" t="s">
        <v>9</v>
      </c>
      <c r="F62" s="602">
        <v>8</v>
      </c>
      <c r="G62" s="603">
        <v>18</v>
      </c>
      <c r="H62" s="604">
        <v>1</v>
      </c>
      <c r="I62" s="583">
        <v>10.5</v>
      </c>
      <c r="J62" s="571">
        <v>20.5</v>
      </c>
      <c r="K62" s="587">
        <v>1</v>
      </c>
      <c r="L62" s="590"/>
      <c r="M62" s="572"/>
      <c r="N62" s="624"/>
      <c r="O62" s="583">
        <v>7</v>
      </c>
      <c r="P62" s="571">
        <v>16</v>
      </c>
      <c r="Q62" s="587">
        <v>1</v>
      </c>
      <c r="R62" s="648">
        <v>13</v>
      </c>
      <c r="S62" s="649">
        <v>23</v>
      </c>
      <c r="T62" s="650">
        <v>1</v>
      </c>
      <c r="U62" s="501">
        <v>10.5</v>
      </c>
      <c r="V62" s="462">
        <v>20.5</v>
      </c>
      <c r="W62" s="502">
        <v>1</v>
      </c>
      <c r="X62" s="596"/>
      <c r="Y62" s="573"/>
      <c r="Z62" s="600"/>
      <c r="AA62" s="297">
        <f t="shared" ref="AA62:AA83" si="16">SUM(G62-F62-H62+J62-I62-K62+M62-L62-N62+P62-O62-Q62+S62-R62-T62+V62-U62-W62+Y62-X62-Z62)</f>
        <v>44</v>
      </c>
      <c r="AB62" s="457"/>
      <c r="AC62" s="326"/>
      <c r="AD62" s="17"/>
      <c r="AE62" s="17"/>
      <c r="AF62" s="17"/>
      <c r="AG62" s="17"/>
      <c r="AH62" s="17"/>
    </row>
    <row r="63" spans="3:35">
      <c r="C63" s="50"/>
      <c r="D63" s="1806" t="s">
        <v>11</v>
      </c>
      <c r="E63" s="442" t="s">
        <v>51</v>
      </c>
      <c r="F63" s="292">
        <v>9</v>
      </c>
      <c r="G63" s="293">
        <v>19</v>
      </c>
      <c r="H63" s="530">
        <v>1</v>
      </c>
      <c r="I63" s="609">
        <v>7</v>
      </c>
      <c r="J63" s="610">
        <v>12</v>
      </c>
      <c r="K63" s="611"/>
      <c r="L63" s="632">
        <v>10.5</v>
      </c>
      <c r="M63" s="633">
        <v>20.5</v>
      </c>
      <c r="N63" s="634">
        <v>1</v>
      </c>
      <c r="O63" s="589"/>
      <c r="P63" s="570"/>
      <c r="Q63" s="592"/>
      <c r="R63" s="586"/>
      <c r="S63" s="570"/>
      <c r="T63" s="592"/>
      <c r="U63" s="240">
        <v>10.5</v>
      </c>
      <c r="V63" s="101">
        <v>20.5</v>
      </c>
      <c r="W63" s="138">
        <v>1</v>
      </c>
      <c r="X63" s="558">
        <v>10</v>
      </c>
      <c r="Y63" s="237">
        <v>20</v>
      </c>
      <c r="Z63" s="245">
        <v>1</v>
      </c>
      <c r="AA63" s="297">
        <f t="shared" si="16"/>
        <v>41</v>
      </c>
      <c r="AB63" s="457"/>
      <c r="AC63" s="6"/>
      <c r="AD63" s="17"/>
      <c r="AE63" s="17"/>
      <c r="AF63" s="17"/>
      <c r="AG63" s="17"/>
      <c r="AH63" s="17"/>
    </row>
    <row r="64" spans="3:35">
      <c r="C64" s="50"/>
      <c r="D64" s="1807"/>
      <c r="E64" s="472" t="s">
        <v>14</v>
      </c>
      <c r="F64" s="407">
        <v>6</v>
      </c>
      <c r="G64" s="196">
        <v>16</v>
      </c>
      <c r="H64" s="310">
        <v>1</v>
      </c>
      <c r="I64" s="309">
        <v>11.5</v>
      </c>
      <c r="J64" s="196">
        <v>20.5</v>
      </c>
      <c r="K64" s="408">
        <v>1</v>
      </c>
      <c r="L64" s="407">
        <v>10.5</v>
      </c>
      <c r="M64" s="196">
        <v>20.5</v>
      </c>
      <c r="N64" s="310">
        <v>1</v>
      </c>
      <c r="O64" s="309">
        <v>10.5</v>
      </c>
      <c r="P64" s="196">
        <v>20.5</v>
      </c>
      <c r="Q64" s="408">
        <v>1</v>
      </c>
      <c r="R64" s="407">
        <v>6</v>
      </c>
      <c r="S64" s="196">
        <v>16</v>
      </c>
      <c r="T64" s="408">
        <v>1</v>
      </c>
      <c r="U64" s="209"/>
      <c r="V64" s="210"/>
      <c r="W64" s="416"/>
      <c r="X64" s="597"/>
      <c r="Y64" s="212"/>
      <c r="Z64" s="213"/>
      <c r="AA64" s="525">
        <f t="shared" si="16"/>
        <v>44</v>
      </c>
      <c r="AB64" s="458"/>
      <c r="AC64" s="14"/>
      <c r="AD64" s="17"/>
      <c r="AE64" s="17"/>
      <c r="AF64" s="17"/>
      <c r="AG64" s="17"/>
      <c r="AH64" s="17"/>
    </row>
    <row r="65" spans="3:34">
      <c r="C65" s="200"/>
      <c r="D65" s="1808" t="s">
        <v>52</v>
      </c>
      <c r="E65" s="341" t="s">
        <v>19</v>
      </c>
      <c r="F65" s="574"/>
      <c r="G65" s="575"/>
      <c r="H65" s="582"/>
      <c r="I65" s="584"/>
      <c r="J65" s="575"/>
      <c r="K65" s="588"/>
      <c r="L65" s="574"/>
      <c r="M65" s="575"/>
      <c r="N65" s="582"/>
      <c r="O65" s="584"/>
      <c r="P65" s="575"/>
      <c r="Q65" s="588"/>
      <c r="R65" s="574"/>
      <c r="S65" s="575"/>
      <c r="T65" s="588"/>
      <c r="U65" s="593"/>
      <c r="V65" s="576"/>
      <c r="W65" s="594"/>
      <c r="X65" s="598"/>
      <c r="Y65" s="577"/>
      <c r="Z65" s="601"/>
      <c r="AA65" s="2">
        <f t="shared" si="16"/>
        <v>0</v>
      </c>
      <c r="AB65" s="441"/>
      <c r="AC65" s="368"/>
      <c r="AD65" s="17"/>
      <c r="AE65" s="17"/>
      <c r="AF65" s="17"/>
      <c r="AG65" s="17"/>
      <c r="AH65" s="17"/>
    </row>
    <row r="66" spans="3:34">
      <c r="C66" s="50"/>
      <c r="D66" s="1809"/>
      <c r="E66" s="479" t="s">
        <v>21</v>
      </c>
      <c r="F66" s="625">
        <v>11</v>
      </c>
      <c r="G66" s="626">
        <v>21</v>
      </c>
      <c r="H66" s="627">
        <v>1</v>
      </c>
      <c r="I66" s="191">
        <v>10.5</v>
      </c>
      <c r="J66" s="187">
        <v>20.5</v>
      </c>
      <c r="K66" s="188">
        <v>1</v>
      </c>
      <c r="L66" s="186">
        <v>6</v>
      </c>
      <c r="M66" s="187">
        <v>16</v>
      </c>
      <c r="N66" s="192">
        <v>1</v>
      </c>
      <c r="O66" s="425"/>
      <c r="P66" s="198"/>
      <c r="Q66" s="431"/>
      <c r="R66" s="424"/>
      <c r="S66" s="198"/>
      <c r="T66" s="431"/>
      <c r="U66" s="76">
        <v>11.5</v>
      </c>
      <c r="V66" s="77">
        <v>20.5</v>
      </c>
      <c r="W66" s="504">
        <v>1</v>
      </c>
      <c r="X66" s="560">
        <v>8</v>
      </c>
      <c r="Y66" s="80">
        <v>18</v>
      </c>
      <c r="Z66" s="247">
        <v>1</v>
      </c>
      <c r="AA66" s="297">
        <f t="shared" si="16"/>
        <v>44</v>
      </c>
      <c r="AB66" s="457"/>
      <c r="AC66" s="6"/>
      <c r="AD66" s="17"/>
      <c r="AE66" s="17"/>
      <c r="AF66" s="17"/>
      <c r="AG66" s="17"/>
      <c r="AH66" s="17"/>
    </row>
    <row r="67" spans="3:34">
      <c r="C67" s="50"/>
      <c r="D67" s="1809"/>
      <c r="E67" s="481" t="s">
        <v>53</v>
      </c>
      <c r="F67" s="407">
        <v>10.5</v>
      </c>
      <c r="G67" s="196">
        <v>20.5</v>
      </c>
      <c r="H67" s="310">
        <v>1</v>
      </c>
      <c r="I67" s="605"/>
      <c r="J67" s="194"/>
      <c r="K67" s="195"/>
      <c r="L67" s="618"/>
      <c r="M67" s="619"/>
      <c r="N67" s="620"/>
      <c r="O67" s="309">
        <v>11.5</v>
      </c>
      <c r="P67" s="196">
        <v>20.5</v>
      </c>
      <c r="Q67" s="408">
        <v>1</v>
      </c>
      <c r="R67" s="407">
        <v>10.5</v>
      </c>
      <c r="S67" s="196">
        <v>20.5</v>
      </c>
      <c r="T67" s="408">
        <v>1</v>
      </c>
      <c r="U67" s="85">
        <v>7</v>
      </c>
      <c r="V67" s="86">
        <v>17</v>
      </c>
      <c r="W67" s="88">
        <v>1</v>
      </c>
      <c r="X67" s="422">
        <v>10</v>
      </c>
      <c r="Y67" s="92">
        <v>20</v>
      </c>
      <c r="Z67" s="118">
        <v>1</v>
      </c>
      <c r="AA67" s="525">
        <f t="shared" si="16"/>
        <v>44</v>
      </c>
      <c r="AB67" s="458"/>
      <c r="AC67" s="14"/>
      <c r="AD67" s="17"/>
      <c r="AE67" s="17"/>
      <c r="AF67" s="17"/>
      <c r="AG67" s="17"/>
      <c r="AH67" s="17"/>
    </row>
    <row r="68" spans="3:34">
      <c r="C68" s="50"/>
      <c r="D68" s="1834"/>
      <c r="E68" s="490" t="s">
        <v>25</v>
      </c>
      <c r="F68" s="292">
        <v>10.5</v>
      </c>
      <c r="G68" s="293">
        <v>20.5</v>
      </c>
      <c r="H68" s="530">
        <v>1</v>
      </c>
      <c r="I68" s="589"/>
      <c r="J68" s="570"/>
      <c r="K68" s="592"/>
      <c r="L68" s="292">
        <v>10.5</v>
      </c>
      <c r="M68" s="293">
        <v>20.5</v>
      </c>
      <c r="N68" s="530">
        <v>1</v>
      </c>
      <c r="O68" s="542">
        <v>11.5</v>
      </c>
      <c r="P68" s="293">
        <v>20.5</v>
      </c>
      <c r="Q68" s="294">
        <v>1</v>
      </c>
      <c r="R68" s="586"/>
      <c r="S68" s="570"/>
      <c r="T68" s="592"/>
      <c r="U68" s="240">
        <v>7</v>
      </c>
      <c r="V68" s="101">
        <v>17</v>
      </c>
      <c r="W68" s="138">
        <v>1</v>
      </c>
      <c r="X68" s="558">
        <v>10</v>
      </c>
      <c r="Y68" s="237">
        <v>20</v>
      </c>
      <c r="Z68" s="245">
        <v>1</v>
      </c>
      <c r="AA68" s="2">
        <f>SUM(G68-F68-H68+J68-I68-K68+M68-L68-N68+P68-O68-Q68+S68-R68-T68+V68-U68-W68+Y68-X68-Z68)</f>
        <v>44</v>
      </c>
      <c r="AB68" s="441"/>
      <c r="AC68" s="368"/>
      <c r="AD68" s="17"/>
      <c r="AE68" s="17"/>
      <c r="AF68" s="17"/>
      <c r="AG68" s="17"/>
      <c r="AH68" s="17"/>
    </row>
    <row r="69" spans="3:34">
      <c r="C69" s="50"/>
      <c r="D69" s="1835"/>
      <c r="E69" s="491" t="s">
        <v>26</v>
      </c>
      <c r="F69" s="424"/>
      <c r="G69" s="198"/>
      <c r="H69" s="426"/>
      <c r="I69" s="425"/>
      <c r="J69" s="198"/>
      <c r="K69" s="431"/>
      <c r="L69" s="424"/>
      <c r="M69" s="198"/>
      <c r="N69" s="426"/>
      <c r="O69" s="425"/>
      <c r="P69" s="198"/>
      <c r="Q69" s="431"/>
      <c r="R69" s="424"/>
      <c r="S69" s="198"/>
      <c r="T69" s="431"/>
      <c r="U69" s="262"/>
      <c r="V69" s="171"/>
      <c r="W69" s="324"/>
      <c r="X69" s="559"/>
      <c r="Y69" s="174"/>
      <c r="Z69" s="360"/>
      <c r="AA69" s="297">
        <f t="shared" si="16"/>
        <v>0</v>
      </c>
      <c r="AB69" s="457"/>
      <c r="AC69" s="6"/>
      <c r="AD69" s="17"/>
      <c r="AE69" s="17"/>
      <c r="AF69" s="17"/>
      <c r="AG69" s="17"/>
      <c r="AH69" s="17"/>
    </row>
    <row r="70" spans="3:34">
      <c r="C70" s="50"/>
      <c r="D70" s="1835"/>
      <c r="E70" s="491" t="s">
        <v>27</v>
      </c>
      <c r="F70" s="424"/>
      <c r="G70" s="198"/>
      <c r="H70" s="426"/>
      <c r="I70" s="191">
        <v>10.5</v>
      </c>
      <c r="J70" s="187">
        <v>20.5</v>
      </c>
      <c r="K70" s="188">
        <v>1</v>
      </c>
      <c r="L70" s="635">
        <v>6</v>
      </c>
      <c r="M70" s="636">
        <v>16</v>
      </c>
      <c r="N70" s="637">
        <v>1</v>
      </c>
      <c r="O70" s="425"/>
      <c r="P70" s="198"/>
      <c r="Q70" s="431"/>
      <c r="R70" s="635">
        <v>14</v>
      </c>
      <c r="S70" s="636">
        <v>23</v>
      </c>
      <c r="T70" s="651">
        <v>1</v>
      </c>
      <c r="U70" s="76">
        <v>10.5</v>
      </c>
      <c r="V70" s="77">
        <v>20.5</v>
      </c>
      <c r="W70" s="504">
        <v>1</v>
      </c>
      <c r="X70" s="560">
        <v>10</v>
      </c>
      <c r="Y70" s="80">
        <v>20</v>
      </c>
      <c r="Z70" s="247">
        <v>1</v>
      </c>
      <c r="AA70" s="297">
        <f t="shared" si="16"/>
        <v>44</v>
      </c>
      <c r="AB70" s="457"/>
      <c r="AC70" s="6"/>
      <c r="AD70" s="17"/>
      <c r="AE70" s="17"/>
      <c r="AF70" s="17"/>
      <c r="AG70" s="17"/>
      <c r="AH70" s="17"/>
    </row>
    <row r="71" spans="3:34" ht="15" customHeight="1">
      <c r="C71" s="50"/>
      <c r="D71" s="1835"/>
      <c r="E71" s="492" t="s">
        <v>28</v>
      </c>
      <c r="F71" s="186">
        <v>10.5</v>
      </c>
      <c r="G71" s="187">
        <v>20.5</v>
      </c>
      <c r="H71" s="192">
        <v>1</v>
      </c>
      <c r="I71" s="425"/>
      <c r="J71" s="198"/>
      <c r="K71" s="431"/>
      <c r="L71" s="424"/>
      <c r="M71" s="198"/>
      <c r="N71" s="426"/>
      <c r="O71" s="646"/>
      <c r="P71" s="626"/>
      <c r="Q71" s="647"/>
      <c r="R71" s="625"/>
      <c r="S71" s="626"/>
      <c r="T71" s="647"/>
      <c r="U71" s="76">
        <v>10.5</v>
      </c>
      <c r="V71" s="77">
        <v>20.5</v>
      </c>
      <c r="W71" s="504">
        <v>1</v>
      </c>
      <c r="X71" s="560">
        <v>8</v>
      </c>
      <c r="Y71" s="80">
        <v>18</v>
      </c>
      <c r="Z71" s="247">
        <v>1</v>
      </c>
      <c r="AA71" s="297">
        <f t="shared" si="16"/>
        <v>27</v>
      </c>
      <c r="AB71" s="457"/>
      <c r="AC71" s="6"/>
      <c r="AD71" s="17"/>
      <c r="AE71" s="17"/>
      <c r="AF71" s="17"/>
      <c r="AG71" s="17"/>
      <c r="AH71" s="17"/>
    </row>
    <row r="72" spans="3:34">
      <c r="C72" s="50"/>
      <c r="D72" s="1835"/>
      <c r="E72" s="491" t="s">
        <v>29</v>
      </c>
      <c r="F72" s="625">
        <v>11</v>
      </c>
      <c r="G72" s="626">
        <v>21</v>
      </c>
      <c r="H72" s="627">
        <v>1</v>
      </c>
      <c r="I72" s="191">
        <v>7</v>
      </c>
      <c r="J72" s="187">
        <v>17</v>
      </c>
      <c r="K72" s="188">
        <v>1</v>
      </c>
      <c r="L72" s="186">
        <v>10.5</v>
      </c>
      <c r="M72" s="187">
        <v>20.5</v>
      </c>
      <c r="N72" s="192">
        <v>1</v>
      </c>
      <c r="O72" s="191">
        <v>11.5</v>
      </c>
      <c r="P72" s="187">
        <v>20.5</v>
      </c>
      <c r="Q72" s="188">
        <v>1</v>
      </c>
      <c r="R72" s="424"/>
      <c r="S72" s="198"/>
      <c r="T72" s="431"/>
      <c r="U72" s="73">
        <v>10.5</v>
      </c>
      <c r="V72" s="74">
        <v>20.5</v>
      </c>
      <c r="W72" s="480">
        <v>1</v>
      </c>
      <c r="X72" s="559"/>
      <c r="Y72" s="174"/>
      <c r="Z72" s="360"/>
      <c r="AA72" s="297">
        <f t="shared" si="16"/>
        <v>44</v>
      </c>
      <c r="AB72" s="457"/>
      <c r="AC72" s="6"/>
      <c r="AD72" s="17"/>
      <c r="AE72" s="17"/>
      <c r="AF72" s="17" t="s">
        <v>69</v>
      </c>
      <c r="AG72" s="17"/>
      <c r="AH72" s="17"/>
    </row>
    <row r="73" spans="3:34">
      <c r="C73" s="50"/>
      <c r="D73" s="1835"/>
      <c r="E73" s="788" t="s">
        <v>70</v>
      </c>
      <c r="F73" s="186">
        <v>11.5</v>
      </c>
      <c r="G73" s="187">
        <v>20.5</v>
      </c>
      <c r="H73" s="192">
        <v>1</v>
      </c>
      <c r="I73" s="191">
        <v>10.5</v>
      </c>
      <c r="J73" s="187">
        <v>20.5</v>
      </c>
      <c r="K73" s="188">
        <v>1</v>
      </c>
      <c r="L73" s="186">
        <v>10.5</v>
      </c>
      <c r="M73" s="187">
        <v>20.5</v>
      </c>
      <c r="N73" s="192">
        <v>1</v>
      </c>
      <c r="O73" s="191"/>
      <c r="P73" s="187"/>
      <c r="Q73" s="188"/>
      <c r="R73" s="186">
        <v>10.5</v>
      </c>
      <c r="S73" s="187">
        <v>20.5</v>
      </c>
      <c r="T73" s="188">
        <v>1</v>
      </c>
      <c r="U73" s="73">
        <v>7</v>
      </c>
      <c r="V73" s="74">
        <v>17</v>
      </c>
      <c r="W73" s="480">
        <v>1</v>
      </c>
      <c r="X73" s="560"/>
      <c r="Y73" s="80"/>
      <c r="Z73" s="247"/>
      <c r="AA73" s="297">
        <f t="shared" si="16"/>
        <v>44</v>
      </c>
      <c r="AB73" s="457"/>
      <c r="AC73" s="6"/>
      <c r="AD73" s="17"/>
      <c r="AE73" s="17"/>
      <c r="AF73" s="17"/>
      <c r="AG73" s="17"/>
      <c r="AH73" s="17"/>
    </row>
    <row r="74" spans="3:34">
      <c r="C74" s="50"/>
      <c r="D74" s="1835"/>
      <c r="E74" s="493" t="s">
        <v>54</v>
      </c>
      <c r="F74" s="424"/>
      <c r="G74" s="198"/>
      <c r="H74" s="426"/>
      <c r="I74" s="191">
        <v>10.5</v>
      </c>
      <c r="J74" s="187">
        <v>20.5</v>
      </c>
      <c r="K74" s="188">
        <v>1</v>
      </c>
      <c r="L74" s="424"/>
      <c r="M74" s="198"/>
      <c r="N74" s="426"/>
      <c r="O74" s="191">
        <v>10.5</v>
      </c>
      <c r="P74" s="187">
        <v>20.5</v>
      </c>
      <c r="Q74" s="188">
        <v>1</v>
      </c>
      <c r="R74" s="186">
        <v>6</v>
      </c>
      <c r="S74" s="187">
        <v>16</v>
      </c>
      <c r="T74" s="188">
        <v>1</v>
      </c>
      <c r="U74" s="76">
        <v>11.5</v>
      </c>
      <c r="V74" s="77">
        <v>20.5</v>
      </c>
      <c r="W74" s="504">
        <v>1</v>
      </c>
      <c r="X74" s="560">
        <v>10</v>
      </c>
      <c r="Y74" s="80">
        <v>20</v>
      </c>
      <c r="Z74" s="247">
        <v>1</v>
      </c>
      <c r="AA74" s="297">
        <f t="shared" si="16"/>
        <v>44</v>
      </c>
      <c r="AB74" s="457"/>
      <c r="AC74" s="6"/>
      <c r="AD74" s="17"/>
      <c r="AE74" s="17"/>
      <c r="AF74" s="17"/>
      <c r="AG74" s="17"/>
      <c r="AH74" s="17"/>
    </row>
    <row r="75" spans="3:34">
      <c r="C75" s="50"/>
      <c r="D75" s="1835"/>
      <c r="E75" s="492" t="s">
        <v>55</v>
      </c>
      <c r="F75" s="407">
        <v>10.5</v>
      </c>
      <c r="G75" s="196">
        <v>20.5</v>
      </c>
      <c r="H75" s="310">
        <v>1</v>
      </c>
      <c r="I75" s="562"/>
      <c r="J75" s="346"/>
      <c r="K75" s="357"/>
      <c r="L75" s="85">
        <v>10.5</v>
      </c>
      <c r="M75" s="86">
        <v>20.5</v>
      </c>
      <c r="N75" s="88">
        <v>1</v>
      </c>
      <c r="O75" s="309">
        <v>11.5</v>
      </c>
      <c r="P75" s="196">
        <v>20.5</v>
      </c>
      <c r="Q75" s="408">
        <v>1</v>
      </c>
      <c r="R75" s="82">
        <v>10.5</v>
      </c>
      <c r="S75" s="83">
        <v>20.5</v>
      </c>
      <c r="T75" s="84">
        <v>1</v>
      </c>
      <c r="U75" s="85">
        <v>7</v>
      </c>
      <c r="V75" s="86">
        <v>16</v>
      </c>
      <c r="W75" s="88">
        <v>1</v>
      </c>
      <c r="X75" s="597"/>
      <c r="Y75" s="212"/>
      <c r="Z75" s="213"/>
      <c r="AA75" s="525">
        <f t="shared" si="16"/>
        <v>43</v>
      </c>
      <c r="AB75" s="458"/>
      <c r="AC75" s="14"/>
      <c r="AD75" s="17"/>
      <c r="AE75" s="17"/>
      <c r="AF75" s="23"/>
      <c r="AG75" s="17"/>
      <c r="AH75" s="17"/>
    </row>
    <row r="76" spans="3:34">
      <c r="C76" s="50"/>
      <c r="D76" s="1825" t="s">
        <v>30</v>
      </c>
      <c r="E76" s="551" t="s">
        <v>31</v>
      </c>
      <c r="F76" s="292">
        <v>16.5</v>
      </c>
      <c r="G76" s="293">
        <v>20.5</v>
      </c>
      <c r="H76" s="530"/>
      <c r="I76" s="508">
        <v>16.5</v>
      </c>
      <c r="J76" s="136">
        <v>20.5</v>
      </c>
      <c r="K76" s="137"/>
      <c r="L76" s="262"/>
      <c r="M76" s="171"/>
      <c r="N76" s="324"/>
      <c r="O76" s="508">
        <v>16.5</v>
      </c>
      <c r="P76" s="136">
        <v>20.5</v>
      </c>
      <c r="Q76" s="137"/>
      <c r="R76" s="591"/>
      <c r="S76" s="579"/>
      <c r="T76" s="595"/>
      <c r="U76" s="240">
        <v>10</v>
      </c>
      <c r="V76" s="101">
        <v>17</v>
      </c>
      <c r="W76" s="138">
        <v>1</v>
      </c>
      <c r="X76" s="558">
        <v>12</v>
      </c>
      <c r="Y76" s="237">
        <v>20</v>
      </c>
      <c r="Z76" s="245">
        <v>1</v>
      </c>
      <c r="AA76" s="2">
        <f t="shared" si="16"/>
        <v>25</v>
      </c>
      <c r="AB76" s="441"/>
      <c r="AC76" s="368"/>
      <c r="AD76" s="17"/>
      <c r="AE76" s="17"/>
      <c r="AF76" s="17"/>
      <c r="AG76" s="17"/>
      <c r="AH76" s="17"/>
    </row>
    <row r="77" spans="3:34">
      <c r="C77" s="50"/>
      <c r="D77" s="1765"/>
      <c r="E77" s="434" t="s">
        <v>32</v>
      </c>
      <c r="F77" s="186">
        <v>6</v>
      </c>
      <c r="G77" s="187">
        <v>12</v>
      </c>
      <c r="H77" s="192"/>
      <c r="I77" s="418"/>
      <c r="J77" s="226"/>
      <c r="K77" s="248"/>
      <c r="L77" s="316">
        <v>6</v>
      </c>
      <c r="M77" s="317">
        <v>16</v>
      </c>
      <c r="N77" s="638">
        <v>1</v>
      </c>
      <c r="O77" s="417">
        <v>7</v>
      </c>
      <c r="P77" s="74">
        <v>11</v>
      </c>
      <c r="Q77" s="75"/>
      <c r="R77" s="73">
        <v>6</v>
      </c>
      <c r="S77" s="74">
        <v>12</v>
      </c>
      <c r="T77" s="75"/>
      <c r="U77" s="76">
        <v>15.5</v>
      </c>
      <c r="V77" s="77">
        <v>20.5</v>
      </c>
      <c r="W77" s="504"/>
      <c r="X77" s="560">
        <v>12</v>
      </c>
      <c r="Y77" s="80">
        <v>20</v>
      </c>
      <c r="Z77" s="247">
        <v>1</v>
      </c>
      <c r="AA77" s="297">
        <f t="shared" si="16"/>
        <v>37</v>
      </c>
      <c r="AB77" s="457"/>
      <c r="AC77" s="6"/>
      <c r="AD77" s="17"/>
      <c r="AE77" s="17"/>
      <c r="AF77" s="17"/>
      <c r="AG77" s="17"/>
      <c r="AH77" s="17"/>
    </row>
    <row r="78" spans="3:34">
      <c r="C78" s="50"/>
      <c r="D78" s="1765"/>
      <c r="E78" s="434" t="s">
        <v>33</v>
      </c>
      <c r="F78" s="424"/>
      <c r="G78" s="198"/>
      <c r="H78" s="426"/>
      <c r="I78" s="417">
        <v>7</v>
      </c>
      <c r="J78" s="74">
        <v>11</v>
      </c>
      <c r="K78" s="333"/>
      <c r="L78" s="76">
        <v>16.5</v>
      </c>
      <c r="M78" s="77">
        <v>20.5</v>
      </c>
      <c r="N78" s="504"/>
      <c r="O78" s="418"/>
      <c r="P78" s="226"/>
      <c r="Q78" s="248"/>
      <c r="R78" s="76">
        <v>16.5</v>
      </c>
      <c r="S78" s="77">
        <v>20.5</v>
      </c>
      <c r="T78" s="78"/>
      <c r="U78" s="76">
        <v>14.5</v>
      </c>
      <c r="V78" s="77">
        <v>20.5</v>
      </c>
      <c r="W78" s="504">
        <v>1</v>
      </c>
      <c r="X78" s="560">
        <v>12</v>
      </c>
      <c r="Y78" s="80">
        <v>20</v>
      </c>
      <c r="Z78" s="247">
        <v>1</v>
      </c>
      <c r="AA78" s="297">
        <f t="shared" si="16"/>
        <v>24</v>
      </c>
      <c r="AB78" s="457"/>
      <c r="AC78" s="6"/>
      <c r="AD78" s="17"/>
      <c r="AE78" s="17"/>
      <c r="AF78" s="17"/>
      <c r="AG78" s="17"/>
      <c r="AH78" s="17"/>
    </row>
    <row r="79" spans="3:34">
      <c r="C79" s="50"/>
      <c r="D79" s="1765"/>
      <c r="E79" s="434" t="s">
        <v>34</v>
      </c>
      <c r="F79" s="186">
        <v>7</v>
      </c>
      <c r="G79" s="187">
        <v>16</v>
      </c>
      <c r="H79" s="192">
        <v>1</v>
      </c>
      <c r="I79" s="170"/>
      <c r="J79" s="171"/>
      <c r="K79" s="172"/>
      <c r="L79" s="262"/>
      <c r="M79" s="171"/>
      <c r="N79" s="324"/>
      <c r="O79" s="417">
        <v>7</v>
      </c>
      <c r="P79" s="74">
        <v>15</v>
      </c>
      <c r="Q79" s="75">
        <v>1</v>
      </c>
      <c r="R79" s="621"/>
      <c r="S79" s="622"/>
      <c r="T79" s="631"/>
      <c r="U79" s="76">
        <v>13.5</v>
      </c>
      <c r="V79" s="77">
        <v>20.5</v>
      </c>
      <c r="W79" s="504">
        <v>1</v>
      </c>
      <c r="X79" s="560">
        <v>8</v>
      </c>
      <c r="Y79" s="80">
        <v>16</v>
      </c>
      <c r="Z79" s="247">
        <v>1</v>
      </c>
      <c r="AA79" s="297">
        <f t="shared" si="16"/>
        <v>28</v>
      </c>
      <c r="AB79" s="457"/>
      <c r="AC79" s="6"/>
      <c r="AD79" s="17"/>
      <c r="AE79" s="17"/>
      <c r="AF79" s="17"/>
      <c r="AG79" s="17"/>
      <c r="AH79" s="17"/>
    </row>
    <row r="80" spans="3:34">
      <c r="C80" s="50"/>
      <c r="D80" s="1765"/>
      <c r="E80" s="434" t="s">
        <v>35</v>
      </c>
      <c r="F80" s="186">
        <v>6</v>
      </c>
      <c r="G80" s="187">
        <v>12</v>
      </c>
      <c r="H80" s="192"/>
      <c r="I80" s="406">
        <v>16.5</v>
      </c>
      <c r="J80" s="77">
        <v>20.5</v>
      </c>
      <c r="K80" s="78"/>
      <c r="L80" s="262"/>
      <c r="M80" s="171"/>
      <c r="N80" s="324"/>
      <c r="O80" s="417">
        <v>16.5</v>
      </c>
      <c r="P80" s="74">
        <v>20.5</v>
      </c>
      <c r="Q80" s="75"/>
      <c r="R80" s="262"/>
      <c r="S80" s="171"/>
      <c r="T80" s="172"/>
      <c r="U80" s="76">
        <v>7</v>
      </c>
      <c r="V80" s="77">
        <v>15</v>
      </c>
      <c r="W80" s="504">
        <v>1</v>
      </c>
      <c r="X80" s="560">
        <v>12</v>
      </c>
      <c r="Y80" s="80">
        <v>20</v>
      </c>
      <c r="Z80" s="247">
        <v>1</v>
      </c>
      <c r="AA80" s="297">
        <f t="shared" si="16"/>
        <v>28</v>
      </c>
      <c r="AB80" s="457"/>
      <c r="AC80" s="6"/>
      <c r="AD80" s="17"/>
      <c r="AE80" s="17"/>
      <c r="AF80" s="17"/>
      <c r="AG80" s="17"/>
      <c r="AH80" s="17"/>
    </row>
    <row r="81" spans="3:34">
      <c r="C81" s="50"/>
      <c r="D81" s="1765"/>
      <c r="E81" s="578" t="s">
        <v>36</v>
      </c>
      <c r="F81" s="424"/>
      <c r="G81" s="198"/>
      <c r="H81" s="426"/>
      <c r="I81" s="406">
        <v>7</v>
      </c>
      <c r="J81" s="77">
        <v>11</v>
      </c>
      <c r="K81" s="78"/>
      <c r="L81" s="621"/>
      <c r="M81" s="622"/>
      <c r="N81" s="623"/>
      <c r="O81" s="417">
        <v>16.5</v>
      </c>
      <c r="P81" s="74">
        <v>20.5</v>
      </c>
      <c r="Q81" s="75"/>
      <c r="R81" s="303">
        <v>16.5</v>
      </c>
      <c r="S81" s="304">
        <v>20.5</v>
      </c>
      <c r="T81" s="305"/>
      <c r="U81" s="400">
        <v>16.5</v>
      </c>
      <c r="V81" s="401">
        <v>20.5</v>
      </c>
      <c r="W81" s="677"/>
      <c r="X81" s="678">
        <v>16.5</v>
      </c>
      <c r="Y81" s="679">
        <v>20.5</v>
      </c>
      <c r="Z81" s="680"/>
      <c r="AA81" s="297">
        <f t="shared" si="16"/>
        <v>20</v>
      </c>
      <c r="AB81" s="457"/>
      <c r="AC81" s="6"/>
      <c r="AD81" s="17"/>
      <c r="AE81" s="17"/>
      <c r="AF81" s="17"/>
      <c r="AG81" s="17"/>
      <c r="AH81" s="17"/>
    </row>
    <row r="82" spans="3:34" ht="15" customHeight="1">
      <c r="C82" s="50"/>
      <c r="D82" s="1765"/>
      <c r="E82" s="580" t="s">
        <v>37</v>
      </c>
      <c r="F82" s="407">
        <v>15.5</v>
      </c>
      <c r="G82" s="196">
        <v>20.5</v>
      </c>
      <c r="H82" s="310"/>
      <c r="I82" s="308"/>
      <c r="J82" s="210"/>
      <c r="K82" s="261"/>
      <c r="L82" s="76">
        <v>16.5</v>
      </c>
      <c r="M82" s="77">
        <v>20.5</v>
      </c>
      <c r="N82" s="504"/>
      <c r="O82" s="628"/>
      <c r="P82" s="629"/>
      <c r="Q82" s="630"/>
      <c r="R82" s="652">
        <v>17</v>
      </c>
      <c r="S82" s="653">
        <v>23</v>
      </c>
      <c r="T82" s="654"/>
      <c r="U82" s="85">
        <v>14.5</v>
      </c>
      <c r="V82" s="86">
        <v>20.5</v>
      </c>
      <c r="W82" s="88">
        <v>1</v>
      </c>
      <c r="X82" s="422">
        <v>12</v>
      </c>
      <c r="Y82" s="92">
        <v>20</v>
      </c>
      <c r="Z82" s="118">
        <v>1</v>
      </c>
      <c r="AA82" s="297">
        <f t="shared" si="16"/>
        <v>27</v>
      </c>
      <c r="AB82" s="457"/>
      <c r="AC82" s="6"/>
      <c r="AD82" s="17"/>
      <c r="AE82" s="17"/>
      <c r="AF82" s="17"/>
      <c r="AG82" s="17"/>
      <c r="AH82" s="17"/>
    </row>
    <row r="83" spans="3:34" ht="15" customHeight="1">
      <c r="C83" s="50"/>
      <c r="D83" s="1766"/>
      <c r="E83" s="581" t="s">
        <v>38</v>
      </c>
      <c r="F83" s="606">
        <v>7</v>
      </c>
      <c r="G83" s="607">
        <v>14</v>
      </c>
      <c r="H83" s="608">
        <v>1</v>
      </c>
      <c r="I83" s="585"/>
      <c r="J83" s="251"/>
      <c r="K83" s="252"/>
      <c r="L83" s="242">
        <v>16.5</v>
      </c>
      <c r="M83" s="239">
        <v>20.5</v>
      </c>
      <c r="N83" s="419"/>
      <c r="O83" s="563"/>
      <c r="P83" s="274"/>
      <c r="Q83" s="275"/>
      <c r="R83" s="242">
        <v>16.5</v>
      </c>
      <c r="S83" s="239">
        <v>20.5</v>
      </c>
      <c r="T83" s="243"/>
      <c r="U83" s="242">
        <v>12.5</v>
      </c>
      <c r="V83" s="239">
        <v>20.5</v>
      </c>
      <c r="W83" s="419">
        <v>1</v>
      </c>
      <c r="X83" s="599">
        <v>12</v>
      </c>
      <c r="Y83" s="331">
        <v>20</v>
      </c>
      <c r="Z83" s="332">
        <v>1</v>
      </c>
      <c r="AA83" s="297">
        <f t="shared" si="16"/>
        <v>28</v>
      </c>
      <c r="AB83" s="500"/>
      <c r="AC83" s="369"/>
      <c r="AD83" s="17"/>
      <c r="AE83" s="17"/>
      <c r="AF83" s="17"/>
      <c r="AG83" s="17"/>
      <c r="AH83" s="17"/>
    </row>
    <row r="84" spans="3:34" ht="18.75" customHeight="1">
      <c r="C84" s="50"/>
      <c r="D84" s="336"/>
      <c r="E84" s="17"/>
      <c r="F84" s="1931">
        <f>COUNT(F62:F83)</f>
        <v>16</v>
      </c>
      <c r="G84" s="1932"/>
      <c r="H84" s="1933"/>
      <c r="I84" s="1931">
        <f t="shared" ref="I84" si="17">COUNT(I62:I83)</f>
        <v>12</v>
      </c>
      <c r="J84" s="1932"/>
      <c r="K84" s="1933"/>
      <c r="L84" s="1931">
        <f t="shared" ref="L84" si="18">COUNT(L62:L83)</f>
        <v>12</v>
      </c>
      <c r="M84" s="1932"/>
      <c r="N84" s="1933"/>
      <c r="O84" s="1931">
        <f t="shared" ref="O84" si="19">COUNT(O62:O83)</f>
        <v>12</v>
      </c>
      <c r="P84" s="1932"/>
      <c r="Q84" s="1933"/>
      <c r="R84" s="1828">
        <f t="shared" ref="R84" si="20">COUNT(R62:R83)</f>
        <v>12</v>
      </c>
      <c r="S84" s="1829"/>
      <c r="T84" s="1852"/>
      <c r="U84" s="1828">
        <f t="shared" ref="U84" si="21">COUNT(U62:U83)</f>
        <v>19</v>
      </c>
      <c r="V84" s="1829"/>
      <c r="W84" s="1852"/>
      <c r="X84" s="1828">
        <f t="shared" ref="X84" si="22">COUNT(X62:X83)</f>
        <v>15</v>
      </c>
      <c r="Y84" s="1829"/>
      <c r="Z84" s="1852"/>
      <c r="AA84" s="23"/>
      <c r="AB84" s="23"/>
      <c r="AC84" s="17"/>
      <c r="AD84" s="17"/>
      <c r="AE84" s="17"/>
      <c r="AF84" s="17"/>
      <c r="AG84" s="17"/>
      <c r="AH84" s="17"/>
    </row>
    <row r="85" spans="3:34" ht="18.75" customHeight="1">
      <c r="C85" s="50"/>
      <c r="D85" s="336"/>
      <c r="E85" s="17"/>
      <c r="F85" s="1780" t="s">
        <v>39</v>
      </c>
      <c r="G85" s="1781"/>
      <c r="H85" s="1782"/>
      <c r="I85" s="1773" t="s">
        <v>71</v>
      </c>
      <c r="J85" s="1773"/>
      <c r="K85" s="1774"/>
      <c r="L85" s="1779" t="s">
        <v>72</v>
      </c>
      <c r="M85" s="1779"/>
      <c r="N85" s="1779"/>
      <c r="O85" s="1789" t="s">
        <v>73</v>
      </c>
      <c r="P85" s="1790"/>
      <c r="Q85" s="1791"/>
      <c r="R85" s="182"/>
      <c r="S85" s="182"/>
      <c r="T85" s="182"/>
      <c r="U85" s="725"/>
      <c r="V85" s="182"/>
      <c r="W85" s="182"/>
      <c r="X85" s="182"/>
      <c r="Y85" s="182"/>
      <c r="Z85" s="182"/>
      <c r="AA85" s="23"/>
      <c r="AB85" s="23"/>
      <c r="AC85" s="17"/>
      <c r="AD85" s="17"/>
      <c r="AE85" s="17"/>
      <c r="AF85" s="17"/>
      <c r="AG85" s="17"/>
      <c r="AH85" s="17"/>
    </row>
    <row r="86" spans="3:34" ht="24" customHeight="1">
      <c r="D86" s="382"/>
      <c r="E86" s="17"/>
      <c r="F86" s="1783"/>
      <c r="G86" s="1784"/>
      <c r="H86" s="1785"/>
      <c r="I86" s="1775"/>
      <c r="J86" s="1775"/>
      <c r="K86" s="1776"/>
      <c r="L86" s="1943" t="s">
        <v>74</v>
      </c>
      <c r="M86" s="1943"/>
      <c r="N86" s="1943"/>
      <c r="O86" s="1792" t="s">
        <v>75</v>
      </c>
      <c r="P86" s="1793"/>
      <c r="Q86" s="1794"/>
      <c r="R86" s="1748" t="s">
        <v>74</v>
      </c>
      <c r="S86" s="1748"/>
      <c r="T86" s="1749"/>
      <c r="U86" s="1753"/>
      <c r="V86" s="1754"/>
      <c r="W86" s="1754"/>
      <c r="X86" s="33"/>
      <c r="Y86" s="33"/>
      <c r="Z86" s="33"/>
      <c r="AA86" s="23"/>
      <c r="AB86" s="23"/>
      <c r="AC86" s="17"/>
      <c r="AD86" s="17"/>
      <c r="AE86" s="17"/>
      <c r="AF86" s="17"/>
      <c r="AG86" s="17"/>
      <c r="AH86" s="17"/>
    </row>
    <row r="87" spans="3:34" ht="23.25" customHeight="1">
      <c r="D87" s="384" t="str">
        <f>D60</f>
        <v xml:space="preserve">NOVIEMBRE </v>
      </c>
      <c r="E87" s="383"/>
      <c r="F87" s="1786"/>
      <c r="G87" s="1787"/>
      <c r="H87" s="1788"/>
      <c r="I87" s="1777"/>
      <c r="J87" s="1777"/>
      <c r="K87" s="1778"/>
      <c r="L87" s="1751" t="s">
        <v>71</v>
      </c>
      <c r="M87" s="1751"/>
      <c r="N87" s="1752"/>
      <c r="O87" s="1795" t="s">
        <v>76</v>
      </c>
      <c r="P87" s="1796"/>
      <c r="Q87" s="1797"/>
      <c r="R87" s="1750" t="s">
        <v>71</v>
      </c>
      <c r="S87" s="1751"/>
      <c r="T87" s="1752"/>
      <c r="U87" s="1755"/>
      <c r="V87" s="1756"/>
      <c r="W87" s="1756"/>
      <c r="X87" s="16"/>
      <c r="Y87" s="16"/>
      <c r="Z87" s="16"/>
      <c r="AA87" s="17"/>
      <c r="AB87" s="17"/>
      <c r="AC87" s="17"/>
      <c r="AD87" s="17"/>
      <c r="AE87" s="17"/>
      <c r="AF87" s="17"/>
      <c r="AG87" s="17"/>
      <c r="AH87" s="17"/>
    </row>
    <row r="88" spans="3:34">
      <c r="D88" s="53" t="s">
        <v>1</v>
      </c>
      <c r="E88" s="215" t="s">
        <v>2</v>
      </c>
      <c r="F88" s="1915" t="s">
        <v>77</v>
      </c>
      <c r="G88" s="1916"/>
      <c r="H88" s="1917"/>
      <c r="I88" s="1918" t="s">
        <v>78</v>
      </c>
      <c r="J88" s="1919"/>
      <c r="K88" s="1920"/>
      <c r="L88" s="1921" t="s">
        <v>79</v>
      </c>
      <c r="M88" s="1922"/>
      <c r="N88" s="1923"/>
      <c r="O88" s="1934" t="s">
        <v>80</v>
      </c>
      <c r="P88" s="1935"/>
      <c r="Q88" s="1936"/>
      <c r="R88" s="1937" t="s">
        <v>81</v>
      </c>
      <c r="S88" s="1938"/>
      <c r="T88" s="1939"/>
      <c r="U88" s="1940" t="s">
        <v>82</v>
      </c>
      <c r="V88" s="1941"/>
      <c r="W88" s="1942"/>
      <c r="X88" s="1855" t="s">
        <v>83</v>
      </c>
      <c r="Y88" s="1856"/>
      <c r="Z88" s="1856"/>
      <c r="AA88" s="18" t="s">
        <v>5</v>
      </c>
      <c r="AB88" s="57" t="s">
        <v>6</v>
      </c>
      <c r="AC88" s="52" t="s">
        <v>7</v>
      </c>
      <c r="AD88" s="17"/>
      <c r="AE88" s="17"/>
      <c r="AF88" s="17"/>
      <c r="AG88" s="17"/>
      <c r="AH88" s="17"/>
    </row>
    <row r="89" spans="3:34" ht="18" customHeight="1">
      <c r="D89" s="440" t="s">
        <v>8</v>
      </c>
      <c r="E89" s="459" t="s">
        <v>9</v>
      </c>
      <c r="F89" s="409">
        <v>10.5</v>
      </c>
      <c r="G89" s="410">
        <v>20.5</v>
      </c>
      <c r="H89" s="420">
        <v>1</v>
      </c>
      <c r="I89" s="428"/>
      <c r="J89" s="219"/>
      <c r="K89" s="314"/>
      <c r="L89" s="671">
        <v>6</v>
      </c>
      <c r="M89" s="672">
        <v>16</v>
      </c>
      <c r="N89" s="724">
        <v>1</v>
      </c>
      <c r="O89" s="673">
        <v>11.5</v>
      </c>
      <c r="P89" s="674">
        <v>20.5</v>
      </c>
      <c r="Q89" s="675">
        <v>1</v>
      </c>
      <c r="R89" s="227"/>
      <c r="S89" s="219"/>
      <c r="T89" s="427"/>
      <c r="U89" s="313">
        <v>10.5</v>
      </c>
      <c r="V89" s="311">
        <v>20.5</v>
      </c>
      <c r="W89" s="312">
        <v>1</v>
      </c>
      <c r="X89" s="409">
        <v>11</v>
      </c>
      <c r="Y89" s="410">
        <v>21</v>
      </c>
      <c r="Z89" s="420">
        <v>1</v>
      </c>
      <c r="AA89" s="710">
        <f t="shared" ref="AA89:AA114" si="23">SUM(G89-F89-H89+J89-I89-K89+M89-L89-N89+P89-O89-Q89+S89-R89-T89+V89-U89-W89+Y89-X89-Z89)</f>
        <v>44</v>
      </c>
      <c r="AB89" s="716"/>
      <c r="AC89" s="54"/>
      <c r="AD89" s="17"/>
      <c r="AE89" s="17"/>
      <c r="AF89" s="17"/>
      <c r="AG89" s="17"/>
      <c r="AH89" s="17"/>
    </row>
    <row r="90" spans="3:34">
      <c r="D90" s="1806" t="s">
        <v>11</v>
      </c>
      <c r="E90" s="483" t="s">
        <v>51</v>
      </c>
      <c r="F90" s="421">
        <v>10.5</v>
      </c>
      <c r="G90" s="71">
        <v>20.5</v>
      </c>
      <c r="H90" s="151">
        <v>1</v>
      </c>
      <c r="I90" s="65">
        <v>10.5</v>
      </c>
      <c r="J90" s="66">
        <v>20.5</v>
      </c>
      <c r="K90" s="67">
        <v>1</v>
      </c>
      <c r="L90" s="668">
        <v>10.5</v>
      </c>
      <c r="M90" s="669">
        <v>20.5</v>
      </c>
      <c r="N90" s="670">
        <v>1</v>
      </c>
      <c r="O90" s="411">
        <v>11.5</v>
      </c>
      <c r="P90" s="63">
        <v>20.5</v>
      </c>
      <c r="Q90" s="412">
        <v>1</v>
      </c>
      <c r="R90" s="662">
        <v>7</v>
      </c>
      <c r="S90" s="663">
        <v>17</v>
      </c>
      <c r="T90" s="664">
        <v>1</v>
      </c>
      <c r="U90" s="414"/>
      <c r="V90" s="166"/>
      <c r="W90" s="167"/>
      <c r="X90" s="168"/>
      <c r="Y90" s="169"/>
      <c r="Z90" s="315"/>
      <c r="AA90" s="526">
        <f t="shared" si="23"/>
        <v>44</v>
      </c>
      <c r="AB90" s="717"/>
      <c r="AC90" s="55"/>
      <c r="AD90" s="17"/>
      <c r="AE90" s="17"/>
      <c r="AF90" s="17"/>
      <c r="AG90" s="17"/>
      <c r="AH90" s="17"/>
    </row>
    <row r="91" spans="3:34">
      <c r="D91" s="1807"/>
      <c r="E91" s="485" t="s">
        <v>14</v>
      </c>
      <c r="F91" s="422">
        <v>7</v>
      </c>
      <c r="G91" s="92">
        <v>17</v>
      </c>
      <c r="H91" s="118">
        <v>1</v>
      </c>
      <c r="I91" s="652">
        <v>7</v>
      </c>
      <c r="J91" s="653">
        <v>17</v>
      </c>
      <c r="K91" s="654">
        <v>1</v>
      </c>
      <c r="L91" s="721"/>
      <c r="M91" s="722"/>
      <c r="N91" s="723"/>
      <c r="O91" s="562"/>
      <c r="P91" s="346"/>
      <c r="Q91" s="661"/>
      <c r="R91" s="90">
        <v>11.5</v>
      </c>
      <c r="S91" s="86">
        <v>20.5</v>
      </c>
      <c r="T91" s="88">
        <v>1</v>
      </c>
      <c r="U91" s="85">
        <v>10.5</v>
      </c>
      <c r="V91" s="86">
        <v>20.5</v>
      </c>
      <c r="W91" s="88">
        <v>1</v>
      </c>
      <c r="X91" s="91">
        <v>11</v>
      </c>
      <c r="Y91" s="92">
        <v>21</v>
      </c>
      <c r="Z91" s="118">
        <v>1</v>
      </c>
      <c r="AA91" s="711">
        <f t="shared" si="23"/>
        <v>44</v>
      </c>
      <c r="AB91" s="718"/>
      <c r="AC91" s="56"/>
      <c r="AD91" s="17"/>
      <c r="AE91" s="17"/>
      <c r="AF91" s="17"/>
      <c r="AG91" s="17"/>
      <c r="AH91" s="17"/>
    </row>
    <row r="92" spans="3:34" ht="16.5" customHeight="1">
      <c r="C92" s="50"/>
      <c r="D92" s="1808" t="s">
        <v>52</v>
      </c>
      <c r="E92" s="344" t="s">
        <v>19</v>
      </c>
      <c r="F92" s="486"/>
      <c r="G92" s="487"/>
      <c r="H92" s="488"/>
      <c r="I92" s="656">
        <v>7</v>
      </c>
      <c r="J92" s="657">
        <v>17</v>
      </c>
      <c r="K92" s="658">
        <v>1</v>
      </c>
      <c r="L92" s="155">
        <v>11.5</v>
      </c>
      <c r="M92" s="153">
        <v>20.5</v>
      </c>
      <c r="N92" s="154">
        <v>1</v>
      </c>
      <c r="O92" s="685"/>
      <c r="P92" s="686"/>
      <c r="Q92" s="687"/>
      <c r="R92" s="152">
        <v>10.5</v>
      </c>
      <c r="S92" s="153">
        <v>20.5</v>
      </c>
      <c r="T92" s="156">
        <v>1</v>
      </c>
      <c r="U92" s="152">
        <v>7</v>
      </c>
      <c r="V92" s="153">
        <v>17</v>
      </c>
      <c r="W92" s="154">
        <v>1</v>
      </c>
      <c r="X92" s="157">
        <v>11</v>
      </c>
      <c r="Y92" s="158">
        <v>21</v>
      </c>
      <c r="Z92" s="714">
        <v>1</v>
      </c>
      <c r="AA92" s="712">
        <f t="shared" si="23"/>
        <v>44</v>
      </c>
      <c r="AB92" s="477"/>
      <c r="AC92" s="36"/>
      <c r="AD92" s="17"/>
      <c r="AE92" s="17"/>
      <c r="AF92" s="17"/>
      <c r="AG92" s="17"/>
      <c r="AH92" s="17"/>
    </row>
    <row r="93" spans="3:34" ht="18" customHeight="1">
      <c r="C93" s="50"/>
      <c r="D93" s="1809"/>
      <c r="E93" s="482" t="s">
        <v>21</v>
      </c>
      <c r="F93" s="423">
        <v>10.5</v>
      </c>
      <c r="G93" s="163">
        <v>20.5</v>
      </c>
      <c r="H93" s="164">
        <v>1</v>
      </c>
      <c r="I93" s="159">
        <v>11.5</v>
      </c>
      <c r="J93" s="160">
        <v>20.5</v>
      </c>
      <c r="K93" s="161">
        <v>1</v>
      </c>
      <c r="L93" s="429"/>
      <c r="M93" s="177"/>
      <c r="N93" s="221"/>
      <c r="O93" s="688">
        <v>7</v>
      </c>
      <c r="P93" s="665">
        <v>17</v>
      </c>
      <c r="Q93" s="689">
        <v>1</v>
      </c>
      <c r="R93" s="159">
        <v>10.5</v>
      </c>
      <c r="S93" s="160">
        <v>20.5</v>
      </c>
      <c r="T93" s="162">
        <v>1</v>
      </c>
      <c r="U93" s="159">
        <v>10.5</v>
      </c>
      <c r="V93" s="160">
        <v>20.5</v>
      </c>
      <c r="W93" s="161">
        <v>1</v>
      </c>
      <c r="X93" s="334"/>
      <c r="Y93" s="335"/>
      <c r="Z93" s="715"/>
      <c r="AA93" s="713">
        <f t="shared" si="23"/>
        <v>44</v>
      </c>
      <c r="AB93" s="719"/>
      <c r="AC93" s="37"/>
      <c r="AD93" s="17"/>
      <c r="AE93" s="17"/>
      <c r="AF93" s="17"/>
      <c r="AG93" s="17"/>
      <c r="AH93" s="17"/>
    </row>
    <row r="94" spans="3:34" ht="18" customHeight="1">
      <c r="C94" s="50"/>
      <c r="D94" s="1809"/>
      <c r="E94" s="645" t="s">
        <v>53</v>
      </c>
      <c r="F94" s="217"/>
      <c r="G94" s="214"/>
      <c r="H94" s="415"/>
      <c r="I94" s="327"/>
      <c r="J94" s="223"/>
      <c r="K94" s="224"/>
      <c r="L94" s="659">
        <v>7</v>
      </c>
      <c r="M94" s="660">
        <v>17</v>
      </c>
      <c r="N94" s="690">
        <v>1</v>
      </c>
      <c r="O94" s="353">
        <v>10.5</v>
      </c>
      <c r="P94" s="112">
        <v>20.5</v>
      </c>
      <c r="Q94" s="732">
        <v>1</v>
      </c>
      <c r="R94" s="132">
        <v>11.5</v>
      </c>
      <c r="S94" s="115">
        <v>20.5</v>
      </c>
      <c r="T94" s="116">
        <v>1</v>
      </c>
      <c r="U94" s="165">
        <v>10.5</v>
      </c>
      <c r="V94" s="115">
        <v>20.5</v>
      </c>
      <c r="W94" s="116">
        <v>1</v>
      </c>
      <c r="X94" s="279">
        <v>8</v>
      </c>
      <c r="Y94" s="280">
        <v>18</v>
      </c>
      <c r="Z94" s="328">
        <v>1</v>
      </c>
      <c r="AA94" s="756">
        <f t="shared" si="23"/>
        <v>44</v>
      </c>
      <c r="AB94" s="720"/>
      <c r="AC94" s="38"/>
      <c r="AD94" s="17"/>
      <c r="AE94" s="17"/>
      <c r="AF94" s="17"/>
      <c r="AG94" s="17"/>
      <c r="AH94" s="17"/>
    </row>
    <row r="95" spans="3:34" ht="15.75" customHeight="1">
      <c r="C95" s="50"/>
      <c r="D95" s="1762" t="s">
        <v>23</v>
      </c>
      <c r="E95" s="490" t="s">
        <v>25</v>
      </c>
      <c r="F95" s="682"/>
      <c r="G95" s="683"/>
      <c r="H95" s="684"/>
      <c r="I95" s="135">
        <v>10.5</v>
      </c>
      <c r="J95" s="136">
        <v>20.5</v>
      </c>
      <c r="K95" s="137">
        <v>1</v>
      </c>
      <c r="L95" s="135">
        <v>11.5</v>
      </c>
      <c r="M95" s="136">
        <v>20.5</v>
      </c>
      <c r="N95" s="137">
        <v>1</v>
      </c>
      <c r="O95" s="731">
        <v>7</v>
      </c>
      <c r="P95" s="692">
        <v>17</v>
      </c>
      <c r="Q95" s="698">
        <v>1</v>
      </c>
      <c r="R95" s="516">
        <v>8</v>
      </c>
      <c r="S95" s="449">
        <v>18</v>
      </c>
      <c r="T95" s="450">
        <v>1</v>
      </c>
      <c r="U95" s="240">
        <v>10.5</v>
      </c>
      <c r="V95" s="101">
        <v>20.5</v>
      </c>
      <c r="W95" s="102">
        <v>1</v>
      </c>
      <c r="X95" s="682"/>
      <c r="Y95" s="683"/>
      <c r="Z95" s="684"/>
      <c r="AA95" s="757">
        <f t="shared" si="23"/>
        <v>44</v>
      </c>
      <c r="AB95" s="441"/>
      <c r="AC95" s="368"/>
      <c r="AD95" s="24"/>
      <c r="AE95" s="17"/>
      <c r="AF95" s="17"/>
      <c r="AG95" s="17"/>
      <c r="AH95" s="17"/>
    </row>
    <row r="96" spans="3:34" ht="16.5" customHeight="1">
      <c r="C96" s="50"/>
      <c r="D96" s="1763"/>
      <c r="E96" s="491" t="s">
        <v>27</v>
      </c>
      <c r="F96" s="79">
        <v>7</v>
      </c>
      <c r="G96" s="80">
        <v>17</v>
      </c>
      <c r="H96" s="247">
        <v>1</v>
      </c>
      <c r="I96" s="262"/>
      <c r="J96" s="171"/>
      <c r="K96" s="172"/>
      <c r="L96" s="676">
        <v>6</v>
      </c>
      <c r="M96" s="666">
        <v>16</v>
      </c>
      <c r="N96" s="667">
        <v>1</v>
      </c>
      <c r="O96" s="73">
        <v>11.5</v>
      </c>
      <c r="P96" s="74">
        <v>20.5</v>
      </c>
      <c r="Q96" s="75">
        <v>1</v>
      </c>
      <c r="R96" s="76">
        <v>10.5</v>
      </c>
      <c r="S96" s="77">
        <v>20.5</v>
      </c>
      <c r="T96" s="78">
        <v>1</v>
      </c>
      <c r="U96" s="76">
        <v>10.5</v>
      </c>
      <c r="V96" s="77">
        <v>20.5</v>
      </c>
      <c r="W96" s="78">
        <v>1</v>
      </c>
      <c r="X96" s="173"/>
      <c r="Y96" s="174"/>
      <c r="Z96" s="360"/>
      <c r="AA96" s="758">
        <f t="shared" si="23"/>
        <v>44</v>
      </c>
      <c r="AB96" s="457"/>
      <c r="AC96" s="6"/>
      <c r="AD96" s="24"/>
      <c r="AE96" s="17"/>
      <c r="AF96" s="17"/>
      <c r="AG96" s="17"/>
      <c r="AH96" s="17"/>
    </row>
    <row r="97" spans="3:34" ht="17.25" customHeight="1">
      <c r="C97" s="50"/>
      <c r="D97" s="1763"/>
      <c r="E97" s="491" t="s">
        <v>28</v>
      </c>
      <c r="F97" s="79">
        <v>10.5</v>
      </c>
      <c r="G97" s="80">
        <v>20.5</v>
      </c>
      <c r="H97" s="247">
        <v>1</v>
      </c>
      <c r="I97" s="73">
        <v>11.5</v>
      </c>
      <c r="J97" s="74">
        <v>20.5</v>
      </c>
      <c r="K97" s="75">
        <v>1</v>
      </c>
      <c r="L97" s="262"/>
      <c r="M97" s="171"/>
      <c r="N97" s="172"/>
      <c r="O97" s="316">
        <v>7</v>
      </c>
      <c r="P97" s="317">
        <v>17</v>
      </c>
      <c r="Q97" s="318">
        <v>1</v>
      </c>
      <c r="R97" s="262"/>
      <c r="S97" s="171"/>
      <c r="T97" s="172"/>
      <c r="U97" s="76">
        <v>7</v>
      </c>
      <c r="V97" s="77">
        <v>17</v>
      </c>
      <c r="W97" s="78">
        <v>1</v>
      </c>
      <c r="X97" s="79">
        <v>10</v>
      </c>
      <c r="Y97" s="80">
        <v>20</v>
      </c>
      <c r="Z97" s="247">
        <v>1</v>
      </c>
      <c r="AA97" s="758">
        <f t="shared" si="23"/>
        <v>44</v>
      </c>
      <c r="AB97" s="457"/>
      <c r="AC97" s="6"/>
      <c r="AD97" s="24"/>
      <c r="AE97" s="17"/>
      <c r="AF97" s="17"/>
      <c r="AG97" s="17"/>
      <c r="AH97" s="17"/>
    </row>
    <row r="98" spans="3:34" ht="16.5" customHeight="1">
      <c r="C98" s="50"/>
      <c r="D98" s="1763"/>
      <c r="E98" s="491" t="s">
        <v>29</v>
      </c>
      <c r="F98" s="173"/>
      <c r="G98" s="174"/>
      <c r="H98" s="360"/>
      <c r="I98" s="262"/>
      <c r="J98" s="171"/>
      <c r="K98" s="172"/>
      <c r="L98" s="676">
        <v>7</v>
      </c>
      <c r="M98" s="666">
        <v>17</v>
      </c>
      <c r="N98" s="667">
        <v>1</v>
      </c>
      <c r="O98" s="76">
        <v>11.5</v>
      </c>
      <c r="P98" s="77">
        <v>20.5</v>
      </c>
      <c r="Q98" s="78">
        <v>1</v>
      </c>
      <c r="R98" s="73">
        <v>10.5</v>
      </c>
      <c r="S98" s="74">
        <v>20.5</v>
      </c>
      <c r="T98" s="75">
        <v>1</v>
      </c>
      <c r="U98" s="76">
        <v>10.5</v>
      </c>
      <c r="V98" s="77">
        <v>20.5</v>
      </c>
      <c r="W98" s="78">
        <v>1</v>
      </c>
      <c r="X98" s="79">
        <v>10</v>
      </c>
      <c r="Y98" s="80">
        <v>20</v>
      </c>
      <c r="Z98" s="247">
        <v>1</v>
      </c>
      <c r="AA98" s="758">
        <f t="shared" si="23"/>
        <v>44</v>
      </c>
      <c r="AB98" s="457"/>
      <c r="AC98" s="6"/>
      <c r="AD98" s="24"/>
      <c r="AE98" s="17"/>
      <c r="AF98" s="17"/>
      <c r="AG98" s="17"/>
      <c r="AH98" s="17"/>
    </row>
    <row r="99" spans="3:34" ht="16.5" customHeight="1">
      <c r="C99" s="50"/>
      <c r="D99" s="1763"/>
      <c r="E99" s="491" t="s">
        <v>70</v>
      </c>
      <c r="F99" s="173"/>
      <c r="G99" s="174"/>
      <c r="H99" s="360"/>
      <c r="I99" s="676">
        <v>7</v>
      </c>
      <c r="J99" s="666">
        <v>17</v>
      </c>
      <c r="K99" s="667">
        <v>1</v>
      </c>
      <c r="L99" s="76">
        <v>11.5</v>
      </c>
      <c r="M99" s="77">
        <v>20.5</v>
      </c>
      <c r="N99" s="78">
        <v>1</v>
      </c>
      <c r="O99" s="76">
        <v>10.5</v>
      </c>
      <c r="P99" s="77">
        <v>20.5</v>
      </c>
      <c r="Q99" s="78">
        <v>1</v>
      </c>
      <c r="R99" s="225"/>
      <c r="S99" s="226"/>
      <c r="T99" s="248"/>
      <c r="U99" s="76">
        <v>7</v>
      </c>
      <c r="V99" s="77">
        <v>17</v>
      </c>
      <c r="W99" s="78">
        <v>1</v>
      </c>
      <c r="X99" s="79">
        <v>10</v>
      </c>
      <c r="Y99" s="80">
        <v>20</v>
      </c>
      <c r="Z99" s="247">
        <v>1</v>
      </c>
      <c r="AA99" s="758">
        <f t="shared" si="23"/>
        <v>44</v>
      </c>
      <c r="AB99" s="457"/>
      <c r="AC99" s="6"/>
      <c r="AD99" s="24"/>
      <c r="AE99" s="17"/>
      <c r="AF99" s="17"/>
      <c r="AG99" s="17"/>
      <c r="AH99" s="17"/>
    </row>
    <row r="100" spans="3:34" ht="17.25" customHeight="1">
      <c r="C100" s="50"/>
      <c r="D100" s="1763"/>
      <c r="E100" s="491" t="s">
        <v>54</v>
      </c>
      <c r="F100" s="79">
        <v>10.5</v>
      </c>
      <c r="G100" s="80">
        <v>20.5</v>
      </c>
      <c r="H100" s="247">
        <v>1</v>
      </c>
      <c r="I100" s="76">
        <v>10.5</v>
      </c>
      <c r="J100" s="77">
        <v>20.5</v>
      </c>
      <c r="K100" s="78">
        <v>1</v>
      </c>
      <c r="L100" s="76">
        <v>10.5</v>
      </c>
      <c r="M100" s="77">
        <v>20.5</v>
      </c>
      <c r="N100" s="78">
        <v>1</v>
      </c>
      <c r="O100" s="262"/>
      <c r="P100" s="171"/>
      <c r="Q100" s="172"/>
      <c r="R100" s="676">
        <v>7</v>
      </c>
      <c r="S100" s="666">
        <v>16</v>
      </c>
      <c r="T100" s="667">
        <v>1</v>
      </c>
      <c r="U100" s="73">
        <v>10.5</v>
      </c>
      <c r="V100" s="74">
        <v>20.5</v>
      </c>
      <c r="W100" s="75">
        <v>1</v>
      </c>
      <c r="X100" s="173"/>
      <c r="Y100" s="174"/>
      <c r="Z100" s="360"/>
      <c r="AA100" s="758">
        <f t="shared" si="23"/>
        <v>44</v>
      </c>
      <c r="AB100" s="457"/>
      <c r="AC100" s="6"/>
      <c r="AD100" s="24"/>
      <c r="AE100" s="17"/>
      <c r="AF100" s="17"/>
      <c r="AG100" s="17"/>
      <c r="AH100" s="17"/>
    </row>
    <row r="101" spans="3:34" ht="18" customHeight="1">
      <c r="C101" s="50"/>
      <c r="D101" s="1763"/>
      <c r="E101" s="491" t="s">
        <v>55</v>
      </c>
      <c r="F101" s="173"/>
      <c r="G101" s="174"/>
      <c r="H101" s="360"/>
      <c r="I101" s="73">
        <v>10.5</v>
      </c>
      <c r="J101" s="74">
        <v>20.5</v>
      </c>
      <c r="K101" s="75">
        <v>1</v>
      </c>
      <c r="L101" s="316">
        <v>7</v>
      </c>
      <c r="M101" s="317">
        <v>17</v>
      </c>
      <c r="N101" s="318">
        <v>1</v>
      </c>
      <c r="O101" s="76">
        <v>11.5</v>
      </c>
      <c r="P101" s="77">
        <v>20.5</v>
      </c>
      <c r="Q101" s="78">
        <v>1</v>
      </c>
      <c r="R101" s="262"/>
      <c r="S101" s="171"/>
      <c r="T101" s="172"/>
      <c r="U101" s="76">
        <v>10.5</v>
      </c>
      <c r="V101" s="77">
        <v>20.5</v>
      </c>
      <c r="W101" s="78">
        <v>1</v>
      </c>
      <c r="X101" s="79">
        <v>10</v>
      </c>
      <c r="Y101" s="80">
        <v>20</v>
      </c>
      <c r="Z101" s="247">
        <v>1</v>
      </c>
      <c r="AA101" s="758">
        <f t="shared" si="23"/>
        <v>44</v>
      </c>
      <c r="AB101" s="457"/>
      <c r="AC101" s="6"/>
      <c r="AD101" s="24"/>
      <c r="AE101" s="17"/>
      <c r="AF101" s="17"/>
      <c r="AG101" s="17"/>
      <c r="AH101" s="17"/>
    </row>
    <row r="102" spans="3:34" ht="18" customHeight="1">
      <c r="C102" s="50"/>
      <c r="D102" s="1762" t="s">
        <v>84</v>
      </c>
      <c r="E102" s="301" t="s">
        <v>85</v>
      </c>
      <c r="F102" s="79">
        <v>10.5</v>
      </c>
      <c r="G102" s="80">
        <v>19.5</v>
      </c>
      <c r="H102" s="247">
        <v>1</v>
      </c>
      <c r="I102" s="316">
        <v>8</v>
      </c>
      <c r="J102" s="317">
        <v>16</v>
      </c>
      <c r="K102" s="318">
        <v>1</v>
      </c>
      <c r="L102" s="73">
        <v>12.5</v>
      </c>
      <c r="M102" s="74">
        <v>20.5</v>
      </c>
      <c r="N102" s="75">
        <v>1</v>
      </c>
      <c r="O102" s="262"/>
      <c r="P102" s="171"/>
      <c r="Q102" s="172"/>
      <c r="R102" s="76">
        <v>12.5</v>
      </c>
      <c r="S102" s="77">
        <v>20.5</v>
      </c>
      <c r="T102" s="78">
        <v>1</v>
      </c>
      <c r="U102" s="76">
        <v>12.5</v>
      </c>
      <c r="V102" s="77">
        <v>20.5</v>
      </c>
      <c r="W102" s="78">
        <v>1</v>
      </c>
      <c r="X102" s="79">
        <v>11</v>
      </c>
      <c r="Y102" s="80">
        <v>20</v>
      </c>
      <c r="Z102" s="247">
        <v>1</v>
      </c>
      <c r="AA102" s="758">
        <f t="shared" si="23"/>
        <v>44</v>
      </c>
      <c r="AB102" s="457"/>
      <c r="AC102" s="6"/>
      <c r="AD102" s="24"/>
      <c r="AE102" s="17"/>
      <c r="AF102" s="17"/>
      <c r="AG102" s="17"/>
      <c r="AH102" s="17"/>
    </row>
    <row r="103" spans="3:34" ht="18" customHeight="1">
      <c r="C103" s="50"/>
      <c r="D103" s="1763"/>
      <c r="E103" s="302" t="s">
        <v>86</v>
      </c>
      <c r="F103" s="91">
        <v>10.5</v>
      </c>
      <c r="G103" s="92">
        <v>19.5</v>
      </c>
      <c r="H103" s="118">
        <v>1</v>
      </c>
      <c r="I103" s="355"/>
      <c r="J103" s="346"/>
      <c r="K103" s="357"/>
      <c r="L103" s="738">
        <v>12.5</v>
      </c>
      <c r="M103" s="739">
        <v>20.5</v>
      </c>
      <c r="N103" s="740">
        <v>1</v>
      </c>
      <c r="O103" s="761">
        <v>8</v>
      </c>
      <c r="P103" s="762">
        <v>17</v>
      </c>
      <c r="Q103" s="763">
        <v>1</v>
      </c>
      <c r="R103" s="741">
        <v>12.5</v>
      </c>
      <c r="S103" s="742">
        <v>20.5</v>
      </c>
      <c r="T103" s="743">
        <v>1</v>
      </c>
      <c r="U103" s="741">
        <v>13.5</v>
      </c>
      <c r="V103" s="742">
        <v>20.5</v>
      </c>
      <c r="W103" s="743">
        <v>1</v>
      </c>
      <c r="X103" s="744">
        <v>11</v>
      </c>
      <c r="Y103" s="745">
        <v>20</v>
      </c>
      <c r="Z103" s="755">
        <v>1</v>
      </c>
      <c r="AA103" s="759">
        <f t="shared" si="23"/>
        <v>44</v>
      </c>
      <c r="AB103" s="458"/>
      <c r="AC103" s="14"/>
      <c r="AD103" s="24"/>
      <c r="AE103" s="17"/>
      <c r="AF103" s="17"/>
      <c r="AG103" s="17"/>
      <c r="AH103" s="17"/>
    </row>
    <row r="104" spans="3:34" ht="18" customHeight="1">
      <c r="C104" s="50"/>
      <c r="D104" s="1764"/>
      <c r="E104" s="301" t="s">
        <v>87</v>
      </c>
      <c r="F104" s="700"/>
      <c r="G104" s="699"/>
      <c r="H104" s="737"/>
      <c r="I104" s="225"/>
      <c r="J104" s="226"/>
      <c r="K104" s="248"/>
      <c r="L104" s="746">
        <v>12.5</v>
      </c>
      <c r="M104" s="747">
        <v>20.5</v>
      </c>
      <c r="N104" s="748">
        <v>1</v>
      </c>
      <c r="O104" s="749">
        <v>12.5</v>
      </c>
      <c r="P104" s="750">
        <v>20.5</v>
      </c>
      <c r="Q104" s="751">
        <v>1</v>
      </c>
      <c r="R104" s="676">
        <v>8</v>
      </c>
      <c r="S104" s="666">
        <v>17</v>
      </c>
      <c r="T104" s="667">
        <v>1</v>
      </c>
      <c r="U104" s="749">
        <v>13.5</v>
      </c>
      <c r="V104" s="750">
        <v>20.5</v>
      </c>
      <c r="W104" s="751">
        <v>1</v>
      </c>
      <c r="X104" s="752">
        <v>11</v>
      </c>
      <c r="Y104" s="753">
        <v>20</v>
      </c>
      <c r="Z104" s="754">
        <v>1</v>
      </c>
      <c r="AA104" s="760">
        <f t="shared" si="23"/>
        <v>36</v>
      </c>
      <c r="AB104" s="23"/>
      <c r="AC104" s="366"/>
      <c r="AD104" s="24"/>
      <c r="AE104" s="17"/>
      <c r="AF104" s="17"/>
      <c r="AG104" s="17"/>
      <c r="AH104" s="17"/>
    </row>
    <row r="105" spans="3:34" ht="17.25" customHeight="1">
      <c r="C105" s="50"/>
      <c r="D105" s="1765" t="s">
        <v>30</v>
      </c>
      <c r="E105" s="726" t="s">
        <v>31</v>
      </c>
      <c r="F105" s="70">
        <v>7</v>
      </c>
      <c r="G105" s="71">
        <v>14</v>
      </c>
      <c r="H105" s="151">
        <v>1</v>
      </c>
      <c r="I105" s="218"/>
      <c r="J105" s="166"/>
      <c r="K105" s="167"/>
      <c r="L105" s="729">
        <v>6</v>
      </c>
      <c r="M105" s="663">
        <v>11</v>
      </c>
      <c r="N105" s="691"/>
      <c r="O105" s="218"/>
      <c r="P105" s="166"/>
      <c r="Q105" s="167"/>
      <c r="R105" s="65">
        <v>16.5</v>
      </c>
      <c r="S105" s="66">
        <v>20.5</v>
      </c>
      <c r="T105" s="67"/>
      <c r="U105" s="65">
        <v>11.5</v>
      </c>
      <c r="V105" s="66">
        <v>20.5</v>
      </c>
      <c r="W105" s="67">
        <v>1</v>
      </c>
      <c r="X105" s="70">
        <v>8</v>
      </c>
      <c r="Y105" s="71">
        <v>15</v>
      </c>
      <c r="Z105" s="72">
        <v>1</v>
      </c>
      <c r="AA105" s="734">
        <f t="shared" si="23"/>
        <v>29</v>
      </c>
      <c r="AB105" s="441"/>
      <c r="AC105" s="368"/>
      <c r="AD105" s="24"/>
      <c r="AE105" s="17"/>
      <c r="AF105" s="17"/>
      <c r="AG105" s="17"/>
      <c r="AH105" s="17"/>
    </row>
    <row r="106" spans="3:34" ht="18" customHeight="1">
      <c r="C106" s="50"/>
      <c r="D106" s="1765"/>
      <c r="E106" s="580" t="s">
        <v>32</v>
      </c>
      <c r="F106" s="79">
        <v>13.5</v>
      </c>
      <c r="G106" s="80">
        <v>20.5</v>
      </c>
      <c r="H106" s="247">
        <v>1</v>
      </c>
      <c r="I106" s="676">
        <v>7</v>
      </c>
      <c r="J106" s="666">
        <v>12</v>
      </c>
      <c r="K106" s="667"/>
      <c r="L106" s="262"/>
      <c r="M106" s="171"/>
      <c r="N106" s="172"/>
      <c r="O106" s="262"/>
      <c r="P106" s="171"/>
      <c r="Q106" s="172"/>
      <c r="R106" s="76">
        <v>16.5</v>
      </c>
      <c r="S106" s="77">
        <v>20.5</v>
      </c>
      <c r="T106" s="78"/>
      <c r="U106" s="76">
        <v>7</v>
      </c>
      <c r="V106" s="77">
        <v>14</v>
      </c>
      <c r="W106" s="78">
        <v>1</v>
      </c>
      <c r="X106" s="79">
        <v>14</v>
      </c>
      <c r="Y106" s="80">
        <v>21</v>
      </c>
      <c r="Z106" s="81">
        <v>1</v>
      </c>
      <c r="AA106" s="735">
        <f t="shared" si="23"/>
        <v>27</v>
      </c>
      <c r="AB106" s="457"/>
      <c r="AC106" s="6"/>
      <c r="AD106" s="24"/>
      <c r="AE106" s="17"/>
      <c r="AF106" s="17"/>
      <c r="AG106" s="17"/>
      <c r="AH106" s="17"/>
    </row>
    <row r="107" spans="3:34" ht="17.25" customHeight="1">
      <c r="C107" s="50"/>
      <c r="D107" s="1765"/>
      <c r="E107" s="580" t="s">
        <v>33</v>
      </c>
      <c r="F107" s="79">
        <v>7</v>
      </c>
      <c r="G107" s="80">
        <v>16</v>
      </c>
      <c r="H107" s="247">
        <v>1</v>
      </c>
      <c r="I107" s="225"/>
      <c r="J107" s="226"/>
      <c r="K107" s="248"/>
      <c r="L107" s="73">
        <v>16.5</v>
      </c>
      <c r="M107" s="74">
        <v>20.5</v>
      </c>
      <c r="N107" s="75"/>
      <c r="O107" s="316">
        <v>7</v>
      </c>
      <c r="P107" s="317">
        <v>12</v>
      </c>
      <c r="Q107" s="318"/>
      <c r="R107" s="225"/>
      <c r="S107" s="226"/>
      <c r="T107" s="248"/>
      <c r="U107" s="73">
        <v>13.5</v>
      </c>
      <c r="V107" s="74">
        <v>20.5</v>
      </c>
      <c r="W107" s="75">
        <v>1</v>
      </c>
      <c r="X107" s="79">
        <v>13</v>
      </c>
      <c r="Y107" s="80">
        <v>20</v>
      </c>
      <c r="Z107" s="81">
        <v>1</v>
      </c>
      <c r="AA107" s="735">
        <f t="shared" si="23"/>
        <v>29</v>
      </c>
      <c r="AB107" s="457"/>
      <c r="AC107" s="6"/>
      <c r="AD107" s="24"/>
      <c r="AE107" s="17"/>
      <c r="AF107" s="17"/>
      <c r="AG107" s="17"/>
      <c r="AH107" s="17"/>
    </row>
    <row r="108" spans="3:34" ht="15" customHeight="1">
      <c r="C108" s="50"/>
      <c r="D108" s="1765"/>
      <c r="E108" s="580" t="s">
        <v>34</v>
      </c>
      <c r="F108" s="79">
        <v>13.5</v>
      </c>
      <c r="G108" s="80">
        <v>20.5</v>
      </c>
      <c r="H108" s="247">
        <v>1</v>
      </c>
      <c r="I108" s="73">
        <v>16.5</v>
      </c>
      <c r="J108" s="74">
        <v>20.5</v>
      </c>
      <c r="K108" s="75"/>
      <c r="L108" s="225"/>
      <c r="M108" s="226"/>
      <c r="N108" s="248"/>
      <c r="O108" s="316">
        <v>8</v>
      </c>
      <c r="P108" s="317">
        <v>16</v>
      </c>
      <c r="Q108" s="318">
        <v>1</v>
      </c>
      <c r="R108" s="376"/>
      <c r="S108" s="377"/>
      <c r="T108" s="378"/>
      <c r="U108" s="73">
        <v>12.5</v>
      </c>
      <c r="V108" s="74">
        <v>20.5</v>
      </c>
      <c r="W108" s="75">
        <v>1</v>
      </c>
      <c r="X108" s="79">
        <v>11</v>
      </c>
      <c r="Y108" s="80">
        <v>20</v>
      </c>
      <c r="Z108" s="81">
        <v>1</v>
      </c>
      <c r="AA108" s="735">
        <f t="shared" si="23"/>
        <v>32</v>
      </c>
      <c r="AB108" s="457"/>
      <c r="AC108" s="6"/>
      <c r="AD108" s="24"/>
      <c r="AE108" s="17"/>
      <c r="AF108" s="17"/>
      <c r="AG108" s="17"/>
      <c r="AH108" s="17"/>
    </row>
    <row r="109" spans="3:34">
      <c r="C109" s="50"/>
      <c r="D109" s="1765"/>
      <c r="E109" s="580" t="s">
        <v>35</v>
      </c>
      <c r="F109" s="79">
        <v>13.5</v>
      </c>
      <c r="G109" s="80">
        <v>20.5</v>
      </c>
      <c r="H109" s="247">
        <v>1</v>
      </c>
      <c r="I109" s="73">
        <v>16.5</v>
      </c>
      <c r="J109" s="74">
        <v>20.5</v>
      </c>
      <c r="K109" s="75"/>
      <c r="L109" s="316">
        <v>7</v>
      </c>
      <c r="M109" s="317">
        <v>12</v>
      </c>
      <c r="N109" s="318"/>
      <c r="O109" s="225"/>
      <c r="P109" s="226"/>
      <c r="Q109" s="248"/>
      <c r="R109" s="316">
        <v>7</v>
      </c>
      <c r="S109" s="317">
        <v>12</v>
      </c>
      <c r="T109" s="318"/>
      <c r="U109" s="73">
        <v>15.5</v>
      </c>
      <c r="V109" s="74">
        <v>20.5</v>
      </c>
      <c r="W109" s="75"/>
      <c r="X109" s="79">
        <v>8</v>
      </c>
      <c r="Y109" s="80">
        <v>15</v>
      </c>
      <c r="Z109" s="81">
        <v>1</v>
      </c>
      <c r="AA109" s="735">
        <f t="shared" si="23"/>
        <v>31</v>
      </c>
      <c r="AB109" s="457"/>
      <c r="AC109" s="6"/>
      <c r="AD109" s="17"/>
      <c r="AE109" s="17"/>
      <c r="AF109" s="17"/>
      <c r="AG109" s="17"/>
      <c r="AH109" s="17"/>
    </row>
    <row r="110" spans="3:34">
      <c r="C110" s="50"/>
      <c r="D110" s="1765"/>
      <c r="E110" s="580" t="s">
        <v>36</v>
      </c>
      <c r="F110" s="693">
        <v>16.5</v>
      </c>
      <c r="G110" s="681">
        <v>20.5</v>
      </c>
      <c r="H110" s="696"/>
      <c r="I110" s="316">
        <v>7</v>
      </c>
      <c r="J110" s="317">
        <v>12</v>
      </c>
      <c r="K110" s="318"/>
      <c r="L110" s="225"/>
      <c r="M110" s="226"/>
      <c r="N110" s="248"/>
      <c r="O110" s="73">
        <v>16.5</v>
      </c>
      <c r="P110" s="74">
        <v>20.5</v>
      </c>
      <c r="Q110" s="75"/>
      <c r="R110" s="225"/>
      <c r="S110" s="226"/>
      <c r="T110" s="248"/>
      <c r="U110" s="73">
        <v>7</v>
      </c>
      <c r="V110" s="74">
        <v>15</v>
      </c>
      <c r="W110" s="75">
        <v>1</v>
      </c>
      <c r="X110" s="79">
        <v>13</v>
      </c>
      <c r="Y110" s="80">
        <v>20</v>
      </c>
      <c r="Z110" s="81">
        <v>1</v>
      </c>
      <c r="AA110" s="735">
        <f t="shared" si="23"/>
        <v>26</v>
      </c>
      <c r="AB110" s="457"/>
      <c r="AC110" s="6"/>
      <c r="AD110" s="17"/>
      <c r="AE110" s="17"/>
      <c r="AF110" s="17"/>
      <c r="AG110" s="17"/>
      <c r="AH110" s="17"/>
    </row>
    <row r="111" spans="3:34">
      <c r="C111" s="50"/>
      <c r="D111" s="1765"/>
      <c r="E111" s="580" t="s">
        <v>37</v>
      </c>
      <c r="F111" s="79">
        <v>7</v>
      </c>
      <c r="G111" s="80">
        <v>16</v>
      </c>
      <c r="H111" s="247">
        <v>1</v>
      </c>
      <c r="I111" s="316">
        <v>7</v>
      </c>
      <c r="J111" s="317">
        <v>12</v>
      </c>
      <c r="K111" s="318"/>
      <c r="L111" s="73">
        <v>16.5</v>
      </c>
      <c r="M111" s="74">
        <v>20.5</v>
      </c>
      <c r="N111" s="75"/>
      <c r="O111" s="225"/>
      <c r="P111" s="226"/>
      <c r="Q111" s="248"/>
      <c r="R111" s="225"/>
      <c r="S111" s="226"/>
      <c r="T111" s="248"/>
      <c r="U111" s="73">
        <v>15.5</v>
      </c>
      <c r="V111" s="74">
        <v>20.5</v>
      </c>
      <c r="W111" s="75"/>
      <c r="X111" s="79">
        <v>8</v>
      </c>
      <c r="Y111" s="80">
        <v>16</v>
      </c>
      <c r="Z111" s="81">
        <v>1</v>
      </c>
      <c r="AA111" s="735">
        <f t="shared" si="23"/>
        <v>29</v>
      </c>
      <c r="AB111" s="457"/>
      <c r="AC111" s="6"/>
      <c r="AD111" s="17"/>
      <c r="AE111" s="17"/>
      <c r="AF111" s="17"/>
      <c r="AG111" s="17"/>
      <c r="AH111" s="17"/>
    </row>
    <row r="112" spans="3:34">
      <c r="C112" s="50"/>
      <c r="D112" s="1766"/>
      <c r="E112" s="580" t="s">
        <v>38</v>
      </c>
      <c r="F112" s="79">
        <v>13.5</v>
      </c>
      <c r="G112" s="80">
        <v>20.5</v>
      </c>
      <c r="H112" s="247">
        <v>1</v>
      </c>
      <c r="I112" s="225"/>
      <c r="J112" s="226"/>
      <c r="K112" s="248"/>
      <c r="L112" s="316">
        <v>7</v>
      </c>
      <c r="M112" s="317">
        <v>12</v>
      </c>
      <c r="N112" s="318"/>
      <c r="O112" s="241">
        <v>16.5</v>
      </c>
      <c r="P112" s="238">
        <v>20.5</v>
      </c>
      <c r="Q112" s="246"/>
      <c r="R112" s="225"/>
      <c r="S112" s="226"/>
      <c r="T112" s="248"/>
      <c r="U112" s="73">
        <v>7</v>
      </c>
      <c r="V112" s="74">
        <v>15</v>
      </c>
      <c r="W112" s="75">
        <v>1</v>
      </c>
      <c r="X112" s="79">
        <v>13</v>
      </c>
      <c r="Y112" s="80">
        <v>20</v>
      </c>
      <c r="Z112" s="81">
        <v>1</v>
      </c>
      <c r="AA112" s="735">
        <f t="shared" si="23"/>
        <v>28</v>
      </c>
      <c r="AB112" s="457"/>
      <c r="AC112" s="6"/>
      <c r="AD112" s="17"/>
      <c r="AE112" s="17"/>
      <c r="AF112" s="17"/>
      <c r="AG112" s="17"/>
      <c r="AH112" s="17"/>
    </row>
    <row r="113" spans="3:34" ht="13.5" customHeight="1">
      <c r="C113" s="50"/>
      <c r="D113" s="1825" t="s">
        <v>88</v>
      </c>
      <c r="E113" s="695" t="s">
        <v>56</v>
      </c>
      <c r="F113" s="79">
        <v>13.5</v>
      </c>
      <c r="G113" s="80">
        <v>20.5</v>
      </c>
      <c r="H113" s="247">
        <v>1</v>
      </c>
      <c r="I113" s="241">
        <v>16.5</v>
      </c>
      <c r="J113" s="238">
        <v>20.5</v>
      </c>
      <c r="K113" s="246"/>
      <c r="L113" s="225"/>
      <c r="M113" s="226"/>
      <c r="N113" s="430"/>
      <c r="O113" s="733"/>
      <c r="P113" s="323"/>
      <c r="Q113" s="359"/>
      <c r="R113" s="316">
        <v>8</v>
      </c>
      <c r="S113" s="317">
        <v>12</v>
      </c>
      <c r="T113" s="318"/>
      <c r="U113" s="73">
        <v>14.5</v>
      </c>
      <c r="V113" s="74">
        <v>20.5</v>
      </c>
      <c r="W113" s="75">
        <v>1</v>
      </c>
      <c r="X113" s="79">
        <v>13</v>
      </c>
      <c r="Y113" s="80">
        <v>20</v>
      </c>
      <c r="Z113" s="81">
        <v>1</v>
      </c>
      <c r="AA113" s="735">
        <f t="shared" si="23"/>
        <v>25</v>
      </c>
      <c r="AB113" s="457"/>
      <c r="AC113" s="6"/>
      <c r="AD113" s="17"/>
      <c r="AE113" s="17"/>
      <c r="AF113" s="17"/>
      <c r="AG113" s="17"/>
      <c r="AH113" s="17"/>
    </row>
    <row r="114" spans="3:34">
      <c r="C114" s="50"/>
      <c r="D114" s="1766"/>
      <c r="E114" s="561" t="s">
        <v>89</v>
      </c>
      <c r="F114" s="330">
        <v>13.5</v>
      </c>
      <c r="G114" s="331">
        <v>20.5</v>
      </c>
      <c r="H114" s="655">
        <v>1</v>
      </c>
      <c r="I114" s="727">
        <v>16.5</v>
      </c>
      <c r="J114" s="728">
        <v>20.5</v>
      </c>
      <c r="K114" s="730"/>
      <c r="L114" s="273"/>
      <c r="M114" s="274"/>
      <c r="N114" s="452"/>
      <c r="O114" s="432">
        <v>16.5</v>
      </c>
      <c r="P114" s="238">
        <v>20.5</v>
      </c>
      <c r="Q114" s="246"/>
      <c r="R114" s="273"/>
      <c r="S114" s="274"/>
      <c r="T114" s="275"/>
      <c r="U114" s="241">
        <v>14.5</v>
      </c>
      <c r="V114" s="238">
        <v>20.5</v>
      </c>
      <c r="W114" s="246">
        <v>1</v>
      </c>
      <c r="X114" s="330">
        <v>13</v>
      </c>
      <c r="Y114" s="331">
        <v>20</v>
      </c>
      <c r="Z114" s="655">
        <v>1</v>
      </c>
      <c r="AA114" s="736">
        <f t="shared" si="23"/>
        <v>25</v>
      </c>
      <c r="AB114" s="500"/>
      <c r="AC114" s="369"/>
      <c r="AD114" s="17"/>
      <c r="AE114" s="17"/>
      <c r="AF114" s="17"/>
      <c r="AG114" s="17"/>
      <c r="AH114" s="17"/>
    </row>
    <row r="115" spans="3:34" ht="15.6">
      <c r="D115" s="32"/>
      <c r="E115" s="35"/>
      <c r="F115" s="1841">
        <f>COUNT(F89:F114)</f>
        <v>19</v>
      </c>
      <c r="G115" s="1842"/>
      <c r="H115" s="1843"/>
      <c r="I115" s="1841">
        <f t="shared" ref="I115" si="24">COUNT(I89:I114)</f>
        <v>17</v>
      </c>
      <c r="J115" s="1842"/>
      <c r="K115" s="1843"/>
      <c r="L115" s="1841">
        <f t="shared" ref="L115" si="25">COUNT(L89:L114)</f>
        <v>18</v>
      </c>
      <c r="M115" s="1842"/>
      <c r="N115" s="1843"/>
      <c r="O115" s="1841">
        <f t="shared" ref="O115" si="26">COUNT(O89:O114)</f>
        <v>17</v>
      </c>
      <c r="P115" s="1842"/>
      <c r="Q115" s="1843"/>
      <c r="R115" s="1841">
        <f t="shared" ref="R115" si="27">COUNT(R89:R114)</f>
        <v>16</v>
      </c>
      <c r="S115" s="1842"/>
      <c r="T115" s="1843"/>
      <c r="U115" s="1841">
        <f t="shared" ref="U115" si="28">COUNT(U89:U114)</f>
        <v>25</v>
      </c>
      <c r="V115" s="1842"/>
      <c r="W115" s="1843"/>
      <c r="X115" s="1841">
        <f t="shared" ref="X115" si="29">COUNT(X89:X114)</f>
        <v>21</v>
      </c>
      <c r="Y115" s="1842"/>
      <c r="Z115" s="1843"/>
      <c r="AA115" s="23"/>
      <c r="AB115" s="23"/>
      <c r="AC115" s="17"/>
      <c r="AD115" s="17"/>
      <c r="AE115" s="17"/>
      <c r="AF115" s="17"/>
      <c r="AG115" s="17"/>
      <c r="AH115" s="17"/>
    </row>
    <row r="116" spans="3:34" ht="15.6">
      <c r="D116" s="32"/>
      <c r="E116" s="35"/>
      <c r="F116" s="208"/>
      <c r="G116" s="208"/>
      <c r="H116" s="208"/>
      <c r="I116" s="51"/>
      <c r="J116" s="206"/>
      <c r="K116" s="206"/>
      <c r="L116" s="206"/>
      <c r="M116" s="206"/>
      <c r="N116" s="206"/>
      <c r="O116" s="35"/>
      <c r="P116" s="35"/>
      <c r="Q116" s="35"/>
      <c r="R116" s="207"/>
      <c r="S116" s="207"/>
      <c r="T116" s="207"/>
      <c r="U116" s="51"/>
      <c r="V116" s="51"/>
      <c r="W116" s="51"/>
      <c r="X116" s="33"/>
      <c r="Y116" s="33"/>
      <c r="Z116" s="33"/>
      <c r="AA116" s="23"/>
      <c r="AB116" s="23"/>
      <c r="AC116" s="17"/>
      <c r="AD116" s="17"/>
      <c r="AE116" s="17"/>
      <c r="AF116" s="17"/>
      <c r="AG116" s="17"/>
      <c r="AH116" s="17"/>
    </row>
    <row r="117" spans="3:34" ht="29.25" customHeight="1">
      <c r="D117" s="1929" t="str">
        <f>D87</f>
        <v xml:space="preserve">NOVIEMBRE </v>
      </c>
      <c r="E117" s="1930"/>
      <c r="F117" s="1767" t="s">
        <v>90</v>
      </c>
      <c r="G117" s="1768"/>
      <c r="H117" s="1769"/>
      <c r="I117" s="1770" t="s">
        <v>91</v>
      </c>
      <c r="J117" s="1771"/>
      <c r="K117" s="1772"/>
      <c r="L117" s="1798" t="s">
        <v>92</v>
      </c>
      <c r="M117" s="1799"/>
      <c r="N117" s="1800"/>
      <c r="O117" s="1801" t="s">
        <v>93</v>
      </c>
      <c r="P117" s="1802"/>
      <c r="Q117" s="1803"/>
      <c r="R117" s="1757" t="s">
        <v>94</v>
      </c>
      <c r="S117" s="1758"/>
      <c r="T117" s="1758"/>
      <c r="U117" s="1759" t="s">
        <v>95</v>
      </c>
      <c r="V117" s="1760"/>
      <c r="W117" s="1760"/>
      <c r="X117" s="1760"/>
      <c r="Y117" s="1760"/>
      <c r="Z117" s="1761"/>
      <c r="AA117" s="833"/>
      <c r="AB117" s="833"/>
      <c r="AC117" s="833"/>
      <c r="AD117" s="17"/>
      <c r="AE117" s="17"/>
      <c r="AF117" s="17"/>
      <c r="AG117" s="17"/>
      <c r="AH117" s="17"/>
    </row>
    <row r="118" spans="3:34">
      <c r="C118" s="50"/>
      <c r="D118" s="229" t="s">
        <v>1</v>
      </c>
      <c r="E118" s="230" t="s">
        <v>2</v>
      </c>
      <c r="F118" s="1810" t="s">
        <v>96</v>
      </c>
      <c r="G118" s="1811"/>
      <c r="H118" s="1811"/>
      <c r="I118" s="1909" t="s">
        <v>97</v>
      </c>
      <c r="J118" s="1910"/>
      <c r="K118" s="1910"/>
      <c r="L118" s="1909" t="s">
        <v>98</v>
      </c>
      <c r="M118" s="1910"/>
      <c r="N118" s="1910"/>
      <c r="O118" s="1911" t="s">
        <v>99</v>
      </c>
      <c r="P118" s="1912"/>
      <c r="Q118" s="1912"/>
      <c r="R118" s="1909" t="s">
        <v>100</v>
      </c>
      <c r="S118" s="1910"/>
      <c r="T118" s="1910"/>
      <c r="U118" s="1913" t="s">
        <v>101</v>
      </c>
      <c r="V118" s="1914"/>
      <c r="W118" s="1914"/>
      <c r="X118" s="1804" t="s">
        <v>102</v>
      </c>
      <c r="Y118" s="1805"/>
      <c r="Z118" s="1805"/>
      <c r="AA118" s="764" t="s">
        <v>5</v>
      </c>
      <c r="AB118" s="18" t="s">
        <v>6</v>
      </c>
      <c r="AC118" s="20" t="s">
        <v>7</v>
      </c>
      <c r="AD118" s="17"/>
      <c r="AE118" s="17"/>
      <c r="AF118" s="17"/>
      <c r="AG118" s="17"/>
      <c r="AH118" s="17"/>
    </row>
    <row r="119" spans="3:34">
      <c r="C119" s="50"/>
      <c r="D119" s="440" t="s">
        <v>8</v>
      </c>
      <c r="E119" s="459" t="s">
        <v>9</v>
      </c>
      <c r="F119" s="766"/>
      <c r="G119" s="463"/>
      <c r="H119" s="464"/>
      <c r="I119" s="766"/>
      <c r="J119" s="463"/>
      <c r="K119" s="464"/>
      <c r="L119" s="501">
        <v>11</v>
      </c>
      <c r="M119" s="462">
        <v>21</v>
      </c>
      <c r="N119" s="767">
        <v>1</v>
      </c>
      <c r="O119" s="808">
        <v>7</v>
      </c>
      <c r="P119" s="809">
        <v>16</v>
      </c>
      <c r="Q119" s="810">
        <v>1</v>
      </c>
      <c r="R119" s="501">
        <v>11</v>
      </c>
      <c r="S119" s="462">
        <v>21</v>
      </c>
      <c r="T119" s="767">
        <v>1</v>
      </c>
      <c r="U119" s="501">
        <v>11</v>
      </c>
      <c r="V119" s="462">
        <v>21</v>
      </c>
      <c r="W119" s="767">
        <v>1</v>
      </c>
      <c r="X119" s="460">
        <v>10</v>
      </c>
      <c r="Y119" s="461">
        <v>20</v>
      </c>
      <c r="Z119" s="505">
        <v>1</v>
      </c>
      <c r="AA119" s="822">
        <f>SUM(G119-F119-H119+J119-I119-K119+M119-L119-N119+P119-O119-Q119+S119-R119-T119+V119-U119-W119+Y119-X119-Z119)</f>
        <v>44</v>
      </c>
      <c r="AB119" s="18"/>
      <c r="AC119" s="826"/>
      <c r="AD119" s="17"/>
      <c r="AE119" s="17"/>
      <c r="AF119" s="17"/>
      <c r="AG119" s="17"/>
      <c r="AH119" s="17"/>
    </row>
    <row r="120" spans="3:34">
      <c r="C120" s="50"/>
      <c r="D120" s="1806" t="s">
        <v>11</v>
      </c>
      <c r="E120" s="442" t="s">
        <v>51</v>
      </c>
      <c r="F120" s="135">
        <v>12</v>
      </c>
      <c r="G120" s="136">
        <v>21</v>
      </c>
      <c r="H120" s="137">
        <v>1</v>
      </c>
      <c r="I120" s="249"/>
      <c r="J120" s="250"/>
      <c r="K120" s="263"/>
      <c r="L120" s="240">
        <v>11</v>
      </c>
      <c r="M120" s="101">
        <v>21</v>
      </c>
      <c r="N120" s="102">
        <v>1</v>
      </c>
      <c r="O120" s="276"/>
      <c r="P120" s="277"/>
      <c r="Q120" s="278"/>
      <c r="R120" s="802">
        <v>7</v>
      </c>
      <c r="S120" s="448">
        <v>17</v>
      </c>
      <c r="T120" s="520">
        <v>1</v>
      </c>
      <c r="U120" s="240">
        <v>11</v>
      </c>
      <c r="V120" s="101">
        <v>21</v>
      </c>
      <c r="W120" s="102">
        <v>1</v>
      </c>
      <c r="X120" s="244">
        <v>10</v>
      </c>
      <c r="Y120" s="237">
        <v>20</v>
      </c>
      <c r="Z120" s="245">
        <v>1</v>
      </c>
      <c r="AA120" s="365">
        <f>SUM(G120-F120-H120+J120-I120-K120+M120-L120-N120+P120-O120-Q120+S120-R120-T120+V120-U120-W120+Y120-X120-Z120)</f>
        <v>44</v>
      </c>
      <c r="AB120" s="2"/>
      <c r="AC120" s="268"/>
      <c r="AD120" s="17"/>
      <c r="AE120" s="17"/>
      <c r="AF120" s="17"/>
      <c r="AG120" s="17"/>
      <c r="AH120" s="17"/>
    </row>
    <row r="121" spans="3:34">
      <c r="C121" s="50"/>
      <c r="D121" s="1807"/>
      <c r="E121" s="472" t="s">
        <v>14</v>
      </c>
      <c r="F121" s="355"/>
      <c r="G121" s="346"/>
      <c r="H121" s="357"/>
      <c r="I121" s="85">
        <v>11</v>
      </c>
      <c r="J121" s="86">
        <v>21</v>
      </c>
      <c r="K121" s="87">
        <v>1</v>
      </c>
      <c r="L121" s="85">
        <v>11</v>
      </c>
      <c r="M121" s="86">
        <v>21</v>
      </c>
      <c r="N121" s="87">
        <v>1</v>
      </c>
      <c r="O121" s="82">
        <v>12</v>
      </c>
      <c r="P121" s="83">
        <v>21</v>
      </c>
      <c r="Q121" s="84">
        <v>1</v>
      </c>
      <c r="R121" s="209"/>
      <c r="S121" s="210"/>
      <c r="T121" s="261"/>
      <c r="U121" s="85">
        <v>11</v>
      </c>
      <c r="V121" s="86">
        <v>21</v>
      </c>
      <c r="W121" s="87">
        <v>1</v>
      </c>
      <c r="X121" s="813">
        <v>8</v>
      </c>
      <c r="Y121" s="814">
        <v>18</v>
      </c>
      <c r="Z121" s="821">
        <v>1</v>
      </c>
      <c r="AA121" s="364">
        <f>SUM(G121-F121-H121+J121-I121-K121+M121-L121-N121+P121-O121-Q121+S121-R121-T121+V121-U121-W121+Y121-X121-Z121)</f>
        <v>44</v>
      </c>
      <c r="AB121" s="525"/>
      <c r="AC121" s="56"/>
      <c r="AD121" s="17"/>
      <c r="AE121" s="17"/>
      <c r="AF121" s="17"/>
      <c r="AG121" s="17"/>
      <c r="AH121" s="17"/>
    </row>
    <row r="122" spans="3:34">
      <c r="C122" s="50"/>
      <c r="D122" s="1808" t="s">
        <v>52</v>
      </c>
      <c r="E122" s="341" t="s">
        <v>19</v>
      </c>
      <c r="F122" s="135">
        <v>11</v>
      </c>
      <c r="G122" s="136">
        <v>21</v>
      </c>
      <c r="H122" s="137">
        <v>1</v>
      </c>
      <c r="I122" s="240">
        <v>11</v>
      </c>
      <c r="J122" s="101">
        <v>21</v>
      </c>
      <c r="K122" s="102">
        <v>1</v>
      </c>
      <c r="L122" s="802">
        <v>6</v>
      </c>
      <c r="M122" s="448">
        <v>16</v>
      </c>
      <c r="N122" s="520">
        <v>1</v>
      </c>
      <c r="O122" s="276"/>
      <c r="P122" s="277"/>
      <c r="Q122" s="278"/>
      <c r="R122" s="249"/>
      <c r="S122" s="250"/>
      <c r="T122" s="263"/>
      <c r="U122" s="240">
        <v>12</v>
      </c>
      <c r="V122" s="101">
        <v>21</v>
      </c>
      <c r="W122" s="102">
        <v>1</v>
      </c>
      <c r="X122" s="244">
        <v>10</v>
      </c>
      <c r="Y122" s="237">
        <v>20</v>
      </c>
      <c r="Z122" s="245">
        <v>1</v>
      </c>
      <c r="AA122" s="365">
        <f t="shared" ref="AA122:AA144" si="30">SUM(G122-F122-H122+J122-I122-K122+M122-L122-N122+P122-O122-Q122+S122-R122-T122+V122-U122-W122+Y122-X122-Z122)</f>
        <v>44</v>
      </c>
      <c r="AB122" s="2"/>
      <c r="AC122" s="268"/>
      <c r="AD122" s="17"/>
      <c r="AE122" s="17"/>
      <c r="AF122" s="17"/>
      <c r="AG122" s="17"/>
      <c r="AH122" s="17"/>
    </row>
    <row r="123" spans="3:34">
      <c r="C123" s="50"/>
      <c r="D123" s="1809"/>
      <c r="E123" s="479" t="s">
        <v>21</v>
      </c>
      <c r="F123" s="225"/>
      <c r="G123" s="226"/>
      <c r="H123" s="248"/>
      <c r="I123" s="789">
        <v>7</v>
      </c>
      <c r="J123" s="790">
        <v>16</v>
      </c>
      <c r="K123" s="791">
        <v>1</v>
      </c>
      <c r="L123" s="76">
        <v>11</v>
      </c>
      <c r="M123" s="77">
        <v>21</v>
      </c>
      <c r="N123" s="78">
        <v>1</v>
      </c>
      <c r="O123" s="225"/>
      <c r="P123" s="226"/>
      <c r="Q123" s="248"/>
      <c r="R123" s="76">
        <v>11</v>
      </c>
      <c r="S123" s="77">
        <v>21</v>
      </c>
      <c r="T123" s="78">
        <v>1</v>
      </c>
      <c r="U123" s="76">
        <v>11</v>
      </c>
      <c r="V123" s="77">
        <v>21</v>
      </c>
      <c r="W123" s="78">
        <v>1</v>
      </c>
      <c r="X123" s="79">
        <v>10</v>
      </c>
      <c r="Y123" s="80">
        <v>20</v>
      </c>
      <c r="Z123" s="247">
        <v>1</v>
      </c>
      <c r="AA123" s="362">
        <f t="shared" si="30"/>
        <v>44</v>
      </c>
      <c r="AB123" s="297"/>
      <c r="AC123" s="55"/>
      <c r="AD123" s="17"/>
      <c r="AE123" s="17"/>
      <c r="AF123" s="17"/>
      <c r="AG123" s="17"/>
      <c r="AH123" s="17"/>
    </row>
    <row r="124" spans="3:34">
      <c r="C124" s="50"/>
      <c r="D124" s="1809"/>
      <c r="E124" s="481" t="s">
        <v>53</v>
      </c>
      <c r="F124" s="782">
        <v>7</v>
      </c>
      <c r="G124" s="783">
        <v>17</v>
      </c>
      <c r="H124" s="784">
        <v>1</v>
      </c>
      <c r="I124" s="209"/>
      <c r="J124" s="210"/>
      <c r="K124" s="261"/>
      <c r="L124" s="85">
        <v>11</v>
      </c>
      <c r="M124" s="86">
        <v>21</v>
      </c>
      <c r="N124" s="87">
        <v>1</v>
      </c>
      <c r="O124" s="82">
        <v>11</v>
      </c>
      <c r="P124" s="83">
        <v>21</v>
      </c>
      <c r="Q124" s="84">
        <v>1</v>
      </c>
      <c r="R124" s="85">
        <v>12</v>
      </c>
      <c r="S124" s="86">
        <v>21</v>
      </c>
      <c r="T124" s="87">
        <v>1</v>
      </c>
      <c r="U124" s="798">
        <v>7</v>
      </c>
      <c r="V124" s="799">
        <v>17</v>
      </c>
      <c r="W124" s="804">
        <v>1</v>
      </c>
      <c r="X124" s="211"/>
      <c r="Y124" s="212"/>
      <c r="Z124" s="213"/>
      <c r="AA124" s="363">
        <f t="shared" si="30"/>
        <v>44</v>
      </c>
      <c r="AB124" s="525"/>
      <c r="AC124" s="56"/>
      <c r="AD124" s="17"/>
      <c r="AE124" s="17"/>
      <c r="AF124" s="17"/>
      <c r="AG124" s="17"/>
      <c r="AH124" s="17"/>
    </row>
    <row r="125" spans="3:34">
      <c r="C125" s="50"/>
      <c r="D125" s="1762" t="s">
        <v>23</v>
      </c>
      <c r="E125" s="490" t="s">
        <v>25</v>
      </c>
      <c r="F125" s="135">
        <v>11</v>
      </c>
      <c r="G125" s="136">
        <v>21</v>
      </c>
      <c r="H125" s="137">
        <v>1</v>
      </c>
      <c r="I125" s="792">
        <v>7</v>
      </c>
      <c r="J125" s="793">
        <v>17</v>
      </c>
      <c r="K125" s="794">
        <v>1</v>
      </c>
      <c r="L125" s="276"/>
      <c r="M125" s="277"/>
      <c r="N125" s="278"/>
      <c r="O125" s="276"/>
      <c r="P125" s="277"/>
      <c r="Q125" s="278"/>
      <c r="R125" s="240">
        <v>11</v>
      </c>
      <c r="S125" s="101">
        <v>21</v>
      </c>
      <c r="T125" s="102">
        <v>1</v>
      </c>
      <c r="U125" s="135">
        <v>12</v>
      </c>
      <c r="V125" s="136">
        <v>21</v>
      </c>
      <c r="W125" s="137">
        <v>1</v>
      </c>
      <c r="X125" s="815">
        <v>8</v>
      </c>
      <c r="Y125" s="816">
        <v>18</v>
      </c>
      <c r="Z125" s="817">
        <v>1</v>
      </c>
      <c r="AA125" s="361">
        <f t="shared" si="30"/>
        <v>44</v>
      </c>
      <c r="AB125" s="2"/>
      <c r="AC125" s="268"/>
      <c r="AD125" s="17"/>
      <c r="AE125" s="17"/>
      <c r="AF125" s="17"/>
      <c r="AG125" s="17"/>
      <c r="AH125" s="17"/>
    </row>
    <row r="126" spans="3:34">
      <c r="C126" s="50"/>
      <c r="D126" s="1763"/>
      <c r="E126" s="491" t="s">
        <v>27</v>
      </c>
      <c r="F126" s="225"/>
      <c r="G126" s="226"/>
      <c r="H126" s="248"/>
      <c r="I126" s="76">
        <v>11</v>
      </c>
      <c r="J126" s="77">
        <v>21</v>
      </c>
      <c r="K126" s="78">
        <v>1</v>
      </c>
      <c r="L126" s="186">
        <v>11</v>
      </c>
      <c r="M126" s="187">
        <v>21</v>
      </c>
      <c r="N126" s="188">
        <v>1</v>
      </c>
      <c r="O126" s="785">
        <v>7</v>
      </c>
      <c r="P126" s="786">
        <v>16</v>
      </c>
      <c r="Q126" s="787">
        <v>1</v>
      </c>
      <c r="R126" s="225"/>
      <c r="S126" s="226"/>
      <c r="T126" s="248"/>
      <c r="U126" s="789">
        <v>7</v>
      </c>
      <c r="V126" s="790">
        <v>17</v>
      </c>
      <c r="W126" s="791">
        <v>1</v>
      </c>
      <c r="X126" s="79">
        <v>10</v>
      </c>
      <c r="Y126" s="80">
        <v>20</v>
      </c>
      <c r="Z126" s="247">
        <v>1</v>
      </c>
      <c r="AA126" s="362">
        <f>SUM(G126-F126-H126+J126-I126-K126+M126-L126-N126+P126-O126-Q126+S126-R126-T126+V126-U126-W126+Y126-X126-Z126)</f>
        <v>44</v>
      </c>
      <c r="AB126" s="297"/>
      <c r="AC126" s="55"/>
      <c r="AD126" s="17"/>
      <c r="AE126" s="17"/>
      <c r="AF126" s="17"/>
      <c r="AG126" s="17"/>
      <c r="AH126" s="17"/>
    </row>
    <row r="127" spans="3:34">
      <c r="C127" s="50"/>
      <c r="D127" s="1763"/>
      <c r="E127" s="491" t="s">
        <v>28</v>
      </c>
      <c r="F127" s="785">
        <v>7</v>
      </c>
      <c r="G127" s="786">
        <v>16</v>
      </c>
      <c r="H127" s="787">
        <v>1</v>
      </c>
      <c r="I127" s="262"/>
      <c r="J127" s="171"/>
      <c r="K127" s="172"/>
      <c r="L127" s="73">
        <v>11</v>
      </c>
      <c r="M127" s="74">
        <v>21</v>
      </c>
      <c r="N127" s="75">
        <v>1</v>
      </c>
      <c r="O127" s="76">
        <v>11</v>
      </c>
      <c r="P127" s="77">
        <v>21</v>
      </c>
      <c r="Q127" s="78">
        <v>1</v>
      </c>
      <c r="R127" s="186">
        <v>11</v>
      </c>
      <c r="S127" s="187">
        <v>21</v>
      </c>
      <c r="T127" s="188">
        <v>1</v>
      </c>
      <c r="U127" s="73">
        <v>11</v>
      </c>
      <c r="V127" s="74">
        <v>21</v>
      </c>
      <c r="W127" s="75">
        <v>1</v>
      </c>
      <c r="X127" s="173"/>
      <c r="Y127" s="174"/>
      <c r="Z127" s="360"/>
      <c r="AA127" s="362">
        <f t="shared" si="30"/>
        <v>44</v>
      </c>
      <c r="AB127" s="297"/>
      <c r="AC127" s="55"/>
      <c r="AD127" s="17"/>
      <c r="AE127" s="17"/>
      <c r="AF127" s="17"/>
      <c r="AG127" s="17"/>
      <c r="AH127" s="17"/>
    </row>
    <row r="128" spans="3:34">
      <c r="C128" s="50"/>
      <c r="D128" s="1763"/>
      <c r="E128" s="491" t="s">
        <v>29</v>
      </c>
      <c r="F128" s="262"/>
      <c r="G128" s="171"/>
      <c r="H128" s="172"/>
      <c r="I128" s="76">
        <v>11</v>
      </c>
      <c r="J128" s="77">
        <v>21</v>
      </c>
      <c r="K128" s="78">
        <v>1</v>
      </c>
      <c r="L128" s="76">
        <v>11</v>
      </c>
      <c r="M128" s="77">
        <v>21</v>
      </c>
      <c r="N128" s="78">
        <v>1</v>
      </c>
      <c r="O128" s="173"/>
      <c r="P128" s="174"/>
      <c r="Q128" s="360"/>
      <c r="R128" s="785">
        <v>7</v>
      </c>
      <c r="S128" s="786">
        <v>16</v>
      </c>
      <c r="T128" s="787">
        <v>1</v>
      </c>
      <c r="U128" s="73">
        <v>11</v>
      </c>
      <c r="V128" s="74">
        <v>21</v>
      </c>
      <c r="W128" s="75">
        <v>1</v>
      </c>
      <c r="X128" s="79">
        <v>10</v>
      </c>
      <c r="Y128" s="80">
        <v>20</v>
      </c>
      <c r="Z128" s="247">
        <v>1</v>
      </c>
      <c r="AA128" s="362">
        <f t="shared" si="30"/>
        <v>44</v>
      </c>
      <c r="AB128" s="297"/>
      <c r="AC128" s="55"/>
      <c r="AD128" s="17"/>
      <c r="AE128" s="17"/>
      <c r="AF128" s="17"/>
      <c r="AG128" s="17"/>
      <c r="AH128" s="17"/>
    </row>
    <row r="129" spans="3:34">
      <c r="C129" s="50"/>
      <c r="D129" s="1763"/>
      <c r="E129" s="491" t="s">
        <v>70</v>
      </c>
      <c r="F129" s="785">
        <v>7</v>
      </c>
      <c r="G129" s="786">
        <v>17</v>
      </c>
      <c r="H129" s="787">
        <v>1</v>
      </c>
      <c r="I129" s="262"/>
      <c r="J129" s="171"/>
      <c r="K129" s="172"/>
      <c r="L129" s="73">
        <v>12</v>
      </c>
      <c r="M129" s="74">
        <v>21</v>
      </c>
      <c r="N129" s="75">
        <v>1</v>
      </c>
      <c r="O129" s="73">
        <v>11</v>
      </c>
      <c r="P129" s="74">
        <v>21</v>
      </c>
      <c r="Q129" s="75">
        <v>1</v>
      </c>
      <c r="R129" s="225"/>
      <c r="S129" s="226"/>
      <c r="T129" s="248"/>
      <c r="U129" s="789">
        <v>7</v>
      </c>
      <c r="V129" s="790">
        <v>17</v>
      </c>
      <c r="W129" s="791">
        <v>1</v>
      </c>
      <c r="X129" s="79">
        <v>10</v>
      </c>
      <c r="Y129" s="80">
        <v>20</v>
      </c>
      <c r="Z129" s="247">
        <v>1</v>
      </c>
      <c r="AA129" s="362">
        <f>SUM(G129-F129-H129+J129-I129-K129+M129-L129-N129+P129-O129-Q129+S129-R129-T129+V129-U129-W129+Y129-X129-Z129)</f>
        <v>44</v>
      </c>
      <c r="AB129" s="297"/>
      <c r="AC129" s="55"/>
      <c r="AD129" s="17"/>
      <c r="AE129" s="17"/>
      <c r="AF129" s="17"/>
      <c r="AG129" s="17"/>
      <c r="AH129" s="17"/>
    </row>
    <row r="130" spans="3:34">
      <c r="C130" s="50"/>
      <c r="D130" s="1763"/>
      <c r="E130" s="491" t="s">
        <v>54</v>
      </c>
      <c r="F130" s="225"/>
      <c r="G130" s="226"/>
      <c r="H130" s="248"/>
      <c r="I130" s="73">
        <v>11</v>
      </c>
      <c r="J130" s="74">
        <v>21</v>
      </c>
      <c r="K130" s="75">
        <v>1</v>
      </c>
      <c r="L130" s="789">
        <v>7</v>
      </c>
      <c r="M130" s="790">
        <v>16</v>
      </c>
      <c r="N130" s="791">
        <v>1</v>
      </c>
      <c r="O130" s="225"/>
      <c r="P130" s="226"/>
      <c r="Q130" s="248"/>
      <c r="R130" s="73">
        <v>11</v>
      </c>
      <c r="S130" s="74">
        <v>21</v>
      </c>
      <c r="T130" s="75">
        <v>1</v>
      </c>
      <c r="U130" s="76">
        <v>11</v>
      </c>
      <c r="V130" s="77">
        <v>21</v>
      </c>
      <c r="W130" s="78">
        <v>1</v>
      </c>
      <c r="X130" s="79">
        <v>10</v>
      </c>
      <c r="Y130" s="80">
        <v>20</v>
      </c>
      <c r="Z130" s="247">
        <v>1</v>
      </c>
      <c r="AA130" s="362">
        <f>SUM(G130-F130-H130+J130-I130-K130+M130-L130-N130+P130-O130-Q130+S130-R130-T130+V130-U130-W130+Y130-X130-Z130)</f>
        <v>44</v>
      </c>
      <c r="AB130" s="297"/>
      <c r="AC130" s="55"/>
      <c r="AD130" s="17"/>
      <c r="AE130" s="17"/>
      <c r="AF130" s="17"/>
      <c r="AG130" s="17"/>
      <c r="AH130" s="17"/>
    </row>
    <row r="131" spans="3:34">
      <c r="C131" s="50"/>
      <c r="D131" s="1763"/>
      <c r="E131" s="491" t="s">
        <v>55</v>
      </c>
      <c r="F131" s="73">
        <v>11</v>
      </c>
      <c r="G131" s="74">
        <v>21</v>
      </c>
      <c r="H131" s="75">
        <v>1</v>
      </c>
      <c r="I131" s="795">
        <v>7</v>
      </c>
      <c r="J131" s="796">
        <v>16</v>
      </c>
      <c r="K131" s="797">
        <v>1</v>
      </c>
      <c r="L131" s="225"/>
      <c r="M131" s="226"/>
      <c r="N131" s="248"/>
      <c r="O131" s="785">
        <v>7</v>
      </c>
      <c r="P131" s="786">
        <v>17</v>
      </c>
      <c r="Q131" s="787">
        <v>1</v>
      </c>
      <c r="R131" s="262"/>
      <c r="S131" s="171"/>
      <c r="T131" s="172"/>
      <c r="U131" s="76">
        <v>11</v>
      </c>
      <c r="V131" s="77">
        <v>21</v>
      </c>
      <c r="W131" s="78">
        <v>1</v>
      </c>
      <c r="X131" s="818">
        <v>8</v>
      </c>
      <c r="Y131" s="819">
        <v>18</v>
      </c>
      <c r="Z131" s="820">
        <v>1</v>
      </c>
      <c r="AA131" s="362">
        <f t="shared" si="30"/>
        <v>44</v>
      </c>
      <c r="AB131" s="297"/>
      <c r="AC131" s="55" t="s">
        <v>103</v>
      </c>
      <c r="AD131" s="17"/>
      <c r="AE131" s="17"/>
      <c r="AF131" s="17"/>
      <c r="AG131" s="17"/>
      <c r="AH131" s="17"/>
    </row>
    <row r="132" spans="3:34" ht="15" customHeight="1">
      <c r="C132" s="50"/>
      <c r="D132" s="1762" t="s">
        <v>84</v>
      </c>
      <c r="E132" s="301" t="s">
        <v>104</v>
      </c>
      <c r="F132" s="76">
        <v>12</v>
      </c>
      <c r="G132" s="77">
        <v>21</v>
      </c>
      <c r="H132" s="78">
        <v>1</v>
      </c>
      <c r="I132" s="73">
        <v>13</v>
      </c>
      <c r="J132" s="74">
        <v>21</v>
      </c>
      <c r="K132" s="75">
        <v>1</v>
      </c>
      <c r="L132" s="262"/>
      <c r="M132" s="171"/>
      <c r="N132" s="172"/>
      <c r="O132" s="635">
        <v>10</v>
      </c>
      <c r="P132" s="636">
        <v>18</v>
      </c>
      <c r="Q132" s="651">
        <v>1</v>
      </c>
      <c r="R132" s="73">
        <v>13</v>
      </c>
      <c r="S132" s="74">
        <v>21</v>
      </c>
      <c r="T132" s="75">
        <v>1</v>
      </c>
      <c r="U132" s="73">
        <v>13</v>
      </c>
      <c r="V132" s="74">
        <v>21</v>
      </c>
      <c r="W132" s="75">
        <v>1</v>
      </c>
      <c r="X132" s="818">
        <v>8</v>
      </c>
      <c r="Y132" s="819">
        <v>17</v>
      </c>
      <c r="Z132" s="820">
        <v>1</v>
      </c>
      <c r="AA132" s="362">
        <f t="shared" si="30"/>
        <v>44</v>
      </c>
      <c r="AB132" s="297"/>
      <c r="AC132" s="55"/>
      <c r="AD132" s="17"/>
      <c r="AE132" s="17"/>
      <c r="AF132" s="17"/>
      <c r="AG132" s="17"/>
      <c r="AH132" s="17"/>
    </row>
    <row r="133" spans="3:34">
      <c r="C133" s="50"/>
      <c r="D133" s="1763"/>
      <c r="E133" s="302" t="s">
        <v>86</v>
      </c>
      <c r="F133" s="785">
        <v>7</v>
      </c>
      <c r="G133" s="786">
        <v>16</v>
      </c>
      <c r="H133" s="787">
        <v>1</v>
      </c>
      <c r="I133" s="73">
        <v>13</v>
      </c>
      <c r="J133" s="74">
        <v>21</v>
      </c>
      <c r="K133" s="75">
        <v>1</v>
      </c>
      <c r="L133" s="225"/>
      <c r="M133" s="226"/>
      <c r="N133" s="248"/>
      <c r="O133" s="316">
        <v>10</v>
      </c>
      <c r="P133" s="317">
        <v>18</v>
      </c>
      <c r="Q133" s="318">
        <v>1</v>
      </c>
      <c r="R133" s="73">
        <v>13</v>
      </c>
      <c r="S133" s="74">
        <v>21</v>
      </c>
      <c r="T133" s="75">
        <v>1</v>
      </c>
      <c r="U133" s="785">
        <v>7</v>
      </c>
      <c r="V133" s="786">
        <v>16</v>
      </c>
      <c r="W133" s="787">
        <v>1</v>
      </c>
      <c r="X133" s="79">
        <v>12</v>
      </c>
      <c r="Y133" s="80">
        <v>20</v>
      </c>
      <c r="Z133" s="247">
        <v>1</v>
      </c>
      <c r="AA133" s="362">
        <f t="shared" si="30"/>
        <v>44</v>
      </c>
      <c r="AB133" s="297"/>
      <c r="AC133" s="55"/>
      <c r="AD133" s="17"/>
      <c r="AE133" s="17"/>
      <c r="AF133" s="17"/>
      <c r="AG133" s="17"/>
      <c r="AH133" s="17"/>
    </row>
    <row r="134" spans="3:34">
      <c r="C134" s="50"/>
      <c r="D134" s="1764"/>
      <c r="E134" s="301" t="s">
        <v>87</v>
      </c>
      <c r="F134" s="82">
        <v>12</v>
      </c>
      <c r="G134" s="83">
        <v>21</v>
      </c>
      <c r="H134" s="84">
        <v>1</v>
      </c>
      <c r="I134" s="82">
        <v>13</v>
      </c>
      <c r="J134" s="83">
        <v>21</v>
      </c>
      <c r="K134" s="75">
        <v>1</v>
      </c>
      <c r="L134" s="209"/>
      <c r="M134" s="210"/>
      <c r="N134" s="261"/>
      <c r="O134" s="82">
        <v>13</v>
      </c>
      <c r="P134" s="83">
        <v>21</v>
      </c>
      <c r="Q134" s="84">
        <v>1</v>
      </c>
      <c r="R134" s="798">
        <v>7</v>
      </c>
      <c r="S134" s="799">
        <v>16</v>
      </c>
      <c r="T134" s="804">
        <v>1</v>
      </c>
      <c r="U134" s="85">
        <v>13</v>
      </c>
      <c r="V134" s="86">
        <v>21</v>
      </c>
      <c r="W134" s="87">
        <v>1</v>
      </c>
      <c r="X134" s="91">
        <v>12</v>
      </c>
      <c r="Y134" s="92">
        <v>20</v>
      </c>
      <c r="Z134" s="118">
        <v>1</v>
      </c>
      <c r="AA134" s="364">
        <f t="shared" si="30"/>
        <v>44</v>
      </c>
      <c r="AB134" s="525"/>
      <c r="AC134" s="56"/>
      <c r="AD134" s="17"/>
      <c r="AE134" s="30"/>
      <c r="AF134" s="17"/>
      <c r="AG134" s="17"/>
      <c r="AH134" s="17"/>
    </row>
    <row r="135" spans="3:34">
      <c r="C135" s="50"/>
      <c r="D135" s="1765" t="s">
        <v>30</v>
      </c>
      <c r="E135" s="726" t="s">
        <v>31</v>
      </c>
      <c r="F135" s="135">
        <v>17</v>
      </c>
      <c r="G135" s="136">
        <v>21</v>
      </c>
      <c r="H135" s="137"/>
      <c r="I135" s="240">
        <v>17</v>
      </c>
      <c r="J135" s="101">
        <v>21</v>
      </c>
      <c r="K135" s="138"/>
      <c r="L135" s="447">
        <v>6</v>
      </c>
      <c r="M135" s="448">
        <v>11</v>
      </c>
      <c r="N135" s="520"/>
      <c r="O135" s="276"/>
      <c r="P135" s="277"/>
      <c r="Q135" s="446"/>
      <c r="R135" s="445"/>
      <c r="S135" s="250"/>
      <c r="T135" s="263"/>
      <c r="U135" s="802">
        <v>7</v>
      </c>
      <c r="V135" s="448">
        <v>14</v>
      </c>
      <c r="W135" s="520">
        <v>1</v>
      </c>
      <c r="X135" s="815">
        <v>8</v>
      </c>
      <c r="Y135" s="816">
        <v>15</v>
      </c>
      <c r="Z135" s="817">
        <v>1</v>
      </c>
      <c r="AA135" s="823">
        <f t="shared" si="30"/>
        <v>25</v>
      </c>
      <c r="AB135" s="2"/>
      <c r="AC135" s="268"/>
      <c r="AD135" s="17"/>
      <c r="AE135" s="30"/>
      <c r="AF135" s="17"/>
      <c r="AG135" s="17"/>
      <c r="AH135" s="17"/>
    </row>
    <row r="136" spans="3:34">
      <c r="C136" s="50"/>
      <c r="D136" s="1765"/>
      <c r="E136" s="580" t="s">
        <v>32</v>
      </c>
      <c r="F136" s="225"/>
      <c r="G136" s="226"/>
      <c r="H136" s="248"/>
      <c r="I136" s="262"/>
      <c r="J136" s="171"/>
      <c r="K136" s="324"/>
      <c r="L136" s="811">
        <v>6</v>
      </c>
      <c r="M136" s="790">
        <v>12</v>
      </c>
      <c r="N136" s="791"/>
      <c r="O136" s="225"/>
      <c r="P136" s="226"/>
      <c r="Q136" s="430"/>
      <c r="R136" s="170"/>
      <c r="S136" s="171"/>
      <c r="T136" s="172"/>
      <c r="U136" s="76">
        <v>17</v>
      </c>
      <c r="V136" s="77">
        <v>21</v>
      </c>
      <c r="W136" s="78"/>
      <c r="X136" s="79">
        <v>14</v>
      </c>
      <c r="Y136" s="80">
        <v>20</v>
      </c>
      <c r="Z136" s="247">
        <v>1</v>
      </c>
      <c r="AA136" s="824">
        <f t="shared" si="30"/>
        <v>15</v>
      </c>
      <c r="AB136" s="297"/>
      <c r="AC136" s="55"/>
      <c r="AD136" s="17"/>
      <c r="AE136" s="30"/>
      <c r="AF136" s="17"/>
      <c r="AG136" s="17"/>
      <c r="AH136" s="17"/>
    </row>
    <row r="137" spans="3:34">
      <c r="C137" s="50"/>
      <c r="D137" s="1765"/>
      <c r="E137" s="580" t="s">
        <v>33</v>
      </c>
      <c r="F137" s="355"/>
      <c r="G137" s="346"/>
      <c r="H137" s="357"/>
      <c r="I137" s="798">
        <v>7</v>
      </c>
      <c r="J137" s="799">
        <v>12</v>
      </c>
      <c r="K137" s="800"/>
      <c r="L137" s="803">
        <v>6</v>
      </c>
      <c r="M137" s="799">
        <v>11</v>
      </c>
      <c r="N137" s="804"/>
      <c r="O137" s="82">
        <v>16</v>
      </c>
      <c r="P137" s="83">
        <v>21</v>
      </c>
      <c r="Q137" s="413"/>
      <c r="R137" s="90">
        <v>17</v>
      </c>
      <c r="S137" s="86">
        <v>21</v>
      </c>
      <c r="T137" s="87"/>
      <c r="U137" s="85">
        <v>13</v>
      </c>
      <c r="V137" s="86">
        <v>21</v>
      </c>
      <c r="W137" s="87">
        <v>1</v>
      </c>
      <c r="X137" s="91">
        <v>12</v>
      </c>
      <c r="Y137" s="92">
        <v>20</v>
      </c>
      <c r="Z137" s="118">
        <v>1</v>
      </c>
      <c r="AA137" s="824">
        <f t="shared" si="30"/>
        <v>33</v>
      </c>
      <c r="AB137" s="6"/>
      <c r="AC137" s="55"/>
      <c r="AD137" s="17"/>
      <c r="AE137" s="17"/>
      <c r="AF137" s="17"/>
      <c r="AG137" s="17"/>
      <c r="AH137" s="17"/>
    </row>
    <row r="138" spans="3:34">
      <c r="D138" s="1765"/>
      <c r="E138" s="580" t="s">
        <v>34</v>
      </c>
      <c r="F138" s="225"/>
      <c r="G138" s="226"/>
      <c r="H138" s="248"/>
      <c r="I138" s="225"/>
      <c r="J138" s="226"/>
      <c r="K138" s="430"/>
      <c r="L138" s="417">
        <v>15</v>
      </c>
      <c r="M138" s="74">
        <v>21</v>
      </c>
      <c r="N138" s="75">
        <v>1</v>
      </c>
      <c r="O138" s="225"/>
      <c r="P138" s="226"/>
      <c r="Q138" s="430"/>
      <c r="R138" s="418"/>
      <c r="S138" s="226"/>
      <c r="T138" s="248"/>
      <c r="U138" s="265">
        <v>16</v>
      </c>
      <c r="V138" s="765">
        <v>21</v>
      </c>
      <c r="W138" s="9"/>
      <c r="X138" s="548">
        <v>12</v>
      </c>
      <c r="Y138" s="535">
        <v>20</v>
      </c>
      <c r="Z138" s="769">
        <v>1</v>
      </c>
      <c r="AA138" s="824">
        <f t="shared" si="30"/>
        <v>17</v>
      </c>
      <c r="AB138" s="6"/>
      <c r="AC138" s="55"/>
      <c r="AD138" s="17"/>
      <c r="AE138" s="17"/>
      <c r="AF138" s="17"/>
      <c r="AG138" s="17"/>
      <c r="AH138" s="17"/>
    </row>
    <row r="139" spans="3:34">
      <c r="D139" s="1765"/>
      <c r="E139" s="580" t="s">
        <v>35</v>
      </c>
      <c r="F139" s="356"/>
      <c r="G139" s="323"/>
      <c r="H139" s="359"/>
      <c r="I139" s="356"/>
      <c r="J139" s="323"/>
      <c r="K139" s="768"/>
      <c r="L139" s="805">
        <v>7</v>
      </c>
      <c r="M139" s="806">
        <v>12</v>
      </c>
      <c r="N139" s="807"/>
      <c r="O139" s="354">
        <v>17</v>
      </c>
      <c r="P139" s="63">
        <v>21</v>
      </c>
      <c r="Q139" s="412"/>
      <c r="R139" s="733"/>
      <c r="S139" s="323"/>
      <c r="T139" s="359"/>
      <c r="U139" s="812">
        <v>7</v>
      </c>
      <c r="V139" s="806">
        <v>15</v>
      </c>
      <c r="W139" s="807">
        <v>1</v>
      </c>
      <c r="X139" s="779">
        <v>13</v>
      </c>
      <c r="Y139" s="780">
        <v>20</v>
      </c>
      <c r="Z139" s="781">
        <v>1</v>
      </c>
      <c r="AA139" s="824">
        <f t="shared" si="30"/>
        <v>22</v>
      </c>
      <c r="AB139" s="6"/>
      <c r="AC139" s="55"/>
      <c r="AD139" s="17"/>
      <c r="AE139" s="17"/>
      <c r="AF139" s="17"/>
      <c r="AG139" s="17"/>
      <c r="AH139" s="17"/>
    </row>
    <row r="140" spans="3:34">
      <c r="D140" s="1765"/>
      <c r="E140" s="580" t="s">
        <v>36</v>
      </c>
      <c r="F140" s="785">
        <v>7</v>
      </c>
      <c r="G140" s="786">
        <v>12</v>
      </c>
      <c r="H140" s="787"/>
      <c r="I140" s="789">
        <v>7</v>
      </c>
      <c r="J140" s="790">
        <v>12</v>
      </c>
      <c r="K140" s="801"/>
      <c r="L140" s="406">
        <v>15</v>
      </c>
      <c r="M140" s="77">
        <v>21</v>
      </c>
      <c r="N140" s="78">
        <v>1</v>
      </c>
      <c r="O140" s="225"/>
      <c r="P140" s="226"/>
      <c r="Q140" s="430"/>
      <c r="R140" s="170"/>
      <c r="S140" s="171"/>
      <c r="T140" s="172"/>
      <c r="U140" s="789">
        <v>7</v>
      </c>
      <c r="V140" s="790">
        <v>15</v>
      </c>
      <c r="W140" s="791">
        <v>1</v>
      </c>
      <c r="X140" s="548">
        <v>8</v>
      </c>
      <c r="Y140" s="535">
        <v>15</v>
      </c>
      <c r="Z140" s="769">
        <v>1</v>
      </c>
      <c r="AA140" s="824">
        <f t="shared" si="30"/>
        <v>28</v>
      </c>
      <c r="AB140" s="6"/>
      <c r="AC140" s="55"/>
      <c r="AD140" s="17"/>
      <c r="AE140" s="17"/>
      <c r="AF140" s="17"/>
      <c r="AG140" s="17"/>
      <c r="AH140" s="17"/>
    </row>
    <row r="141" spans="3:34">
      <c r="D141" s="1765"/>
      <c r="E141" s="580" t="s">
        <v>37</v>
      </c>
      <c r="F141" s="73">
        <v>17</v>
      </c>
      <c r="G141" s="74">
        <v>21</v>
      </c>
      <c r="H141" s="75"/>
      <c r="I141" s="262"/>
      <c r="J141" s="171"/>
      <c r="K141" s="324"/>
      <c r="L141" s="406">
        <v>17</v>
      </c>
      <c r="M141" s="77">
        <v>21</v>
      </c>
      <c r="N141" s="78"/>
      <c r="O141" s="225"/>
      <c r="P141" s="226"/>
      <c r="Q141" s="430"/>
      <c r="R141" s="170"/>
      <c r="S141" s="171"/>
      <c r="T141" s="172"/>
      <c r="U141" s="773">
        <v>14</v>
      </c>
      <c r="V141" s="534">
        <v>21</v>
      </c>
      <c r="W141" s="550">
        <v>1</v>
      </c>
      <c r="X141" s="818">
        <v>12</v>
      </c>
      <c r="Y141" s="819">
        <v>20</v>
      </c>
      <c r="Z141" s="820">
        <v>1</v>
      </c>
      <c r="AA141" s="824">
        <f t="shared" si="30"/>
        <v>21</v>
      </c>
      <c r="AB141" s="6"/>
      <c r="AC141" s="55"/>
      <c r="AD141" s="17"/>
      <c r="AE141" s="17"/>
      <c r="AF141" s="17"/>
      <c r="AG141" s="17"/>
      <c r="AH141" s="17"/>
    </row>
    <row r="142" spans="3:34">
      <c r="D142" s="1766"/>
      <c r="E142" s="580" t="s">
        <v>38</v>
      </c>
      <c r="F142" s="73">
        <v>13</v>
      </c>
      <c r="G142" s="74">
        <v>21</v>
      </c>
      <c r="H142" s="75">
        <v>1</v>
      </c>
      <c r="I142" s="262"/>
      <c r="J142" s="171"/>
      <c r="K142" s="324"/>
      <c r="L142" s="406">
        <v>15</v>
      </c>
      <c r="M142" s="77">
        <v>21</v>
      </c>
      <c r="N142" s="78">
        <v>1</v>
      </c>
      <c r="O142" s="73">
        <v>17</v>
      </c>
      <c r="P142" s="74">
        <v>21</v>
      </c>
      <c r="Q142" s="480"/>
      <c r="R142" s="811">
        <v>7</v>
      </c>
      <c r="S142" s="790">
        <v>12</v>
      </c>
      <c r="T142" s="791"/>
      <c r="U142" s="773">
        <v>16</v>
      </c>
      <c r="V142" s="534">
        <v>21</v>
      </c>
      <c r="W142" s="550">
        <v>1</v>
      </c>
      <c r="X142" s="548">
        <v>11</v>
      </c>
      <c r="Y142" s="535">
        <v>20</v>
      </c>
      <c r="Z142" s="769">
        <v>1</v>
      </c>
      <c r="AA142" s="824">
        <f t="shared" si="30"/>
        <v>33</v>
      </c>
      <c r="AB142" s="6"/>
      <c r="AC142" s="55"/>
      <c r="AD142" s="17"/>
      <c r="AE142" s="17"/>
      <c r="AF142" s="17"/>
      <c r="AG142" s="17"/>
      <c r="AH142" s="17"/>
    </row>
    <row r="143" spans="3:34" ht="15" customHeight="1">
      <c r="D143" s="1825" t="s">
        <v>88</v>
      </c>
      <c r="E143" s="695" t="s">
        <v>56</v>
      </c>
      <c r="F143" s="73">
        <v>17</v>
      </c>
      <c r="G143" s="74">
        <v>21</v>
      </c>
      <c r="H143" s="75"/>
      <c r="I143" s="76">
        <v>17</v>
      </c>
      <c r="J143" s="77">
        <v>21</v>
      </c>
      <c r="K143" s="504"/>
      <c r="L143" s="170"/>
      <c r="M143" s="171"/>
      <c r="N143" s="172"/>
      <c r="O143" s="316">
        <v>10</v>
      </c>
      <c r="P143" s="317">
        <v>17</v>
      </c>
      <c r="Q143" s="638">
        <v>1</v>
      </c>
      <c r="R143" s="406">
        <v>14</v>
      </c>
      <c r="S143" s="77">
        <v>21</v>
      </c>
      <c r="T143" s="78">
        <v>1</v>
      </c>
      <c r="U143" s="773">
        <v>15</v>
      </c>
      <c r="V143" s="534">
        <v>21</v>
      </c>
      <c r="W143" s="550">
        <v>1</v>
      </c>
      <c r="X143" s="818">
        <v>8</v>
      </c>
      <c r="Y143" s="819">
        <v>15</v>
      </c>
      <c r="Z143" s="820">
        <v>1</v>
      </c>
      <c r="AA143" s="824">
        <f t="shared" si="30"/>
        <v>31</v>
      </c>
      <c r="AB143" s="6"/>
      <c r="AC143" s="55"/>
      <c r="AD143" s="17"/>
      <c r="AE143" s="17"/>
      <c r="AF143" s="17"/>
      <c r="AG143" s="17"/>
      <c r="AH143" s="17"/>
    </row>
    <row r="144" spans="3:34">
      <c r="D144" s="1766"/>
      <c r="E144" s="561" t="s">
        <v>89</v>
      </c>
      <c r="F144" s="241">
        <v>17</v>
      </c>
      <c r="G144" s="238">
        <v>21</v>
      </c>
      <c r="H144" s="246"/>
      <c r="I144" s="271"/>
      <c r="J144" s="251"/>
      <c r="K144" s="774"/>
      <c r="L144" s="585"/>
      <c r="M144" s="251"/>
      <c r="N144" s="252"/>
      <c r="O144" s="834">
        <v>10</v>
      </c>
      <c r="P144" s="835">
        <v>18</v>
      </c>
      <c r="Q144" s="836">
        <v>1</v>
      </c>
      <c r="R144" s="775">
        <v>13</v>
      </c>
      <c r="S144" s="239">
        <v>21</v>
      </c>
      <c r="T144" s="243">
        <v>1</v>
      </c>
      <c r="U144" s="776">
        <v>14</v>
      </c>
      <c r="V144" s="777">
        <v>21</v>
      </c>
      <c r="W144" s="778">
        <v>1</v>
      </c>
      <c r="X144" s="770">
        <v>12</v>
      </c>
      <c r="Y144" s="771">
        <v>20</v>
      </c>
      <c r="Z144" s="772">
        <v>1</v>
      </c>
      <c r="AA144" s="825">
        <f t="shared" si="30"/>
        <v>31</v>
      </c>
      <c r="AB144" s="369"/>
      <c r="AC144" s="269"/>
      <c r="AD144" s="17"/>
      <c r="AE144" s="17"/>
      <c r="AF144" s="17"/>
      <c r="AG144" s="17"/>
      <c r="AH144" s="17"/>
    </row>
    <row r="145" spans="3:26">
      <c r="F145" s="1903">
        <f>COUNT(F119:F144)</f>
        <v>16</v>
      </c>
      <c r="G145" s="1904"/>
      <c r="H145" s="1905"/>
      <c r="I145" s="1903">
        <f t="shared" ref="I145" si="31">COUNT(I119:I144)</f>
        <v>15</v>
      </c>
      <c r="J145" s="1904"/>
      <c r="K145" s="1905"/>
      <c r="L145" s="1906">
        <f t="shared" ref="L145" si="32">COUNT(L119:L144)</f>
        <v>19</v>
      </c>
      <c r="M145" s="1907"/>
      <c r="N145" s="1908"/>
      <c r="O145" s="1903">
        <f t="shared" ref="O145" si="33">COUNT(O119:O144)</f>
        <v>15</v>
      </c>
      <c r="P145" s="1904"/>
      <c r="Q145" s="1905"/>
      <c r="R145" s="1906">
        <f t="shared" ref="R145" si="34">COUNT(R119:R144)</f>
        <v>15</v>
      </c>
      <c r="S145" s="1907"/>
      <c r="T145" s="1908"/>
      <c r="U145" s="1903">
        <f t="shared" ref="U145" si="35">COUNT(U119:U144)</f>
        <v>26</v>
      </c>
      <c r="V145" s="1904"/>
      <c r="W145" s="1905"/>
      <c r="X145" s="1903">
        <f t="shared" ref="X145" si="36">COUNT(X119:X144)</f>
        <v>24</v>
      </c>
      <c r="Y145" s="1904"/>
      <c r="Z145" s="1905"/>
    </row>
    <row r="146" spans="3:26"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55" spans="3:26"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</row>
    <row r="156" spans="3:26">
      <c r="C156" s="50"/>
      <c r="D156" s="295"/>
      <c r="E156" s="183"/>
      <c r="F156" s="183"/>
      <c r="G156" s="183"/>
      <c r="H156" s="144"/>
      <c r="I156" s="144"/>
      <c r="J156" s="144"/>
      <c r="K156" s="182"/>
      <c r="L156" s="182"/>
      <c r="M156" s="182"/>
      <c r="N156" s="182"/>
      <c r="O156" s="182"/>
      <c r="P156" s="182"/>
      <c r="Q156" s="144"/>
      <c r="R156" s="144"/>
      <c r="S156" s="144"/>
      <c r="T156" s="144"/>
      <c r="U156" s="144"/>
      <c r="V156" s="144"/>
      <c r="W156" s="183"/>
      <c r="X156" s="183"/>
      <c r="Y156" s="183"/>
      <c r="Z156" s="50"/>
    </row>
    <row r="157" spans="3:26"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</row>
  </sheetData>
  <mergeCells count="132">
    <mergeCell ref="X145:Z145"/>
    <mergeCell ref="I61:K61"/>
    <mergeCell ref="L61:N61"/>
    <mergeCell ref="O61:Q61"/>
    <mergeCell ref="R61:T61"/>
    <mergeCell ref="U61:W61"/>
    <mergeCell ref="F61:H61"/>
    <mergeCell ref="D117:E117"/>
    <mergeCell ref="D63:D64"/>
    <mergeCell ref="F84:H84"/>
    <mergeCell ref="I84:K84"/>
    <mergeCell ref="L84:N84"/>
    <mergeCell ref="O84:Q84"/>
    <mergeCell ref="R84:T84"/>
    <mergeCell ref="U84:W84"/>
    <mergeCell ref="D65:D67"/>
    <mergeCell ref="D68:D75"/>
    <mergeCell ref="O88:Q88"/>
    <mergeCell ref="R88:T88"/>
    <mergeCell ref="U88:W88"/>
    <mergeCell ref="D95:D101"/>
    <mergeCell ref="D105:D112"/>
    <mergeCell ref="L86:N86"/>
    <mergeCell ref="L87:N87"/>
    <mergeCell ref="U60:W60"/>
    <mergeCell ref="L58:N58"/>
    <mergeCell ref="O58:Q58"/>
    <mergeCell ref="R58:T58"/>
    <mergeCell ref="U58:W58"/>
    <mergeCell ref="D143:D144"/>
    <mergeCell ref="F145:H145"/>
    <mergeCell ref="I145:K145"/>
    <mergeCell ref="L145:N145"/>
    <mergeCell ref="O145:Q145"/>
    <mergeCell ref="R145:T145"/>
    <mergeCell ref="U145:W145"/>
    <mergeCell ref="I118:K118"/>
    <mergeCell ref="L118:N118"/>
    <mergeCell ref="O118:Q118"/>
    <mergeCell ref="R118:T118"/>
    <mergeCell ref="U118:W118"/>
    <mergeCell ref="I115:K115"/>
    <mergeCell ref="L115:N115"/>
    <mergeCell ref="O115:Q115"/>
    <mergeCell ref="R115:T115"/>
    <mergeCell ref="F88:H88"/>
    <mergeCell ref="I88:K88"/>
    <mergeCell ref="L88:N88"/>
    <mergeCell ref="D4:E5"/>
    <mergeCell ref="U4:W5"/>
    <mergeCell ref="D13:D19"/>
    <mergeCell ref="F4:T5"/>
    <mergeCell ref="F34:H34"/>
    <mergeCell ref="I34:K34"/>
    <mergeCell ref="L34:N34"/>
    <mergeCell ref="O34:Q34"/>
    <mergeCell ref="R34:T34"/>
    <mergeCell ref="U34:W34"/>
    <mergeCell ref="U32:W33"/>
    <mergeCell ref="F6:H6"/>
    <mergeCell ref="I6:K6"/>
    <mergeCell ref="L6:N6"/>
    <mergeCell ref="O6:Q6"/>
    <mergeCell ref="R6:T6"/>
    <mergeCell ref="U6:W6"/>
    <mergeCell ref="F30:H30"/>
    <mergeCell ref="AF8:AH8"/>
    <mergeCell ref="D113:D114"/>
    <mergeCell ref="U115:W115"/>
    <mergeCell ref="X115:Z115"/>
    <mergeCell ref="D102:D104"/>
    <mergeCell ref="R60:T60"/>
    <mergeCell ref="D60:E60"/>
    <mergeCell ref="F60:H60"/>
    <mergeCell ref="I60:K60"/>
    <mergeCell ref="L60:N60"/>
    <mergeCell ref="O60:Q60"/>
    <mergeCell ref="D76:D83"/>
    <mergeCell ref="X84:Z84"/>
    <mergeCell ref="X61:Z61"/>
    <mergeCell ref="X88:Z88"/>
    <mergeCell ref="D90:D91"/>
    <mergeCell ref="D92:D94"/>
    <mergeCell ref="F115:H115"/>
    <mergeCell ref="AE33:AF33"/>
    <mergeCell ref="AF9:AH9"/>
    <mergeCell ref="X32:Z33"/>
    <mergeCell ref="X34:Z34"/>
    <mergeCell ref="AF10:AH10"/>
    <mergeCell ref="AF12:AH12"/>
    <mergeCell ref="X6:Z6"/>
    <mergeCell ref="D8:D9"/>
    <mergeCell ref="D32:E33"/>
    <mergeCell ref="F32:H33"/>
    <mergeCell ref="R32:T33"/>
    <mergeCell ref="D20:D29"/>
    <mergeCell ref="D10:D12"/>
    <mergeCell ref="D36:D37"/>
    <mergeCell ref="F58:H58"/>
    <mergeCell ref="I58:K58"/>
    <mergeCell ref="D48:D57"/>
    <mergeCell ref="X58:Z58"/>
    <mergeCell ref="D38:D40"/>
    <mergeCell ref="D41:D47"/>
    <mergeCell ref="I30:K30"/>
    <mergeCell ref="L30:N30"/>
    <mergeCell ref="O30:Q30"/>
    <mergeCell ref="R30:T30"/>
    <mergeCell ref="U30:W30"/>
    <mergeCell ref="X30:Z30"/>
    <mergeCell ref="R86:T86"/>
    <mergeCell ref="R87:T87"/>
    <mergeCell ref="U86:W87"/>
    <mergeCell ref="R117:T117"/>
    <mergeCell ref="U117:Z117"/>
    <mergeCell ref="D132:D134"/>
    <mergeCell ref="D135:D142"/>
    <mergeCell ref="F117:H117"/>
    <mergeCell ref="I117:K117"/>
    <mergeCell ref="I85:K87"/>
    <mergeCell ref="L85:N85"/>
    <mergeCell ref="F85:H87"/>
    <mergeCell ref="O85:Q85"/>
    <mergeCell ref="O86:Q86"/>
    <mergeCell ref="O87:Q87"/>
    <mergeCell ref="L117:N117"/>
    <mergeCell ref="O117:Q117"/>
    <mergeCell ref="X118:Z118"/>
    <mergeCell ref="D120:D121"/>
    <mergeCell ref="D122:D124"/>
    <mergeCell ref="D125:D131"/>
    <mergeCell ref="F118:H118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179B3-8AF9-4962-82C6-27E4DE6449B7}">
  <dimension ref="B3:AH147"/>
  <sheetViews>
    <sheetView topLeftCell="C75" zoomScale="76" zoomScaleNormal="81" workbookViewId="0">
      <selection activeCell="W109" sqref="W109:Y116"/>
    </sheetView>
  </sheetViews>
  <sheetFormatPr baseColWidth="10" defaultColWidth="9.09765625" defaultRowHeight="13.8"/>
  <cols>
    <col min="3" max="3" width="10.59765625" customWidth="1"/>
    <col min="4" max="4" width="27" customWidth="1"/>
    <col min="5" max="25" width="7.296875" customWidth="1"/>
    <col min="28" max="28" width="28" customWidth="1"/>
    <col min="30" max="30" width="25.09765625" customWidth="1"/>
    <col min="31" max="31" width="13" customWidth="1"/>
  </cols>
  <sheetData>
    <row r="3" spans="2:33"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</row>
    <row r="4" spans="2:33" ht="15" customHeight="1">
      <c r="C4" s="1817" t="s">
        <v>105</v>
      </c>
      <c r="D4" s="1817"/>
      <c r="E4" s="1954" t="s">
        <v>94</v>
      </c>
      <c r="F4" s="1955"/>
      <c r="G4" s="1956"/>
      <c r="H4" s="1975" t="s">
        <v>91</v>
      </c>
      <c r="I4" s="1975"/>
      <c r="J4" s="1975"/>
      <c r="K4" s="1954" t="s">
        <v>91</v>
      </c>
      <c r="L4" s="1955"/>
      <c r="M4" s="1956"/>
      <c r="N4" s="1974"/>
      <c r="O4" s="1974"/>
      <c r="P4" s="1974"/>
      <c r="Q4" s="1874"/>
      <c r="R4" s="1875"/>
      <c r="S4" s="1875"/>
      <c r="T4" s="1964" t="s">
        <v>61</v>
      </c>
      <c r="U4" s="1965"/>
      <c r="V4" s="1965"/>
      <c r="W4" s="1874"/>
      <c r="X4" s="1875"/>
      <c r="Y4" s="1876"/>
      <c r="Z4" s="50"/>
      <c r="AA4" s="50"/>
      <c r="AB4" s="47"/>
    </row>
    <row r="5" spans="2:33" ht="15" customHeight="1">
      <c r="C5" s="1818"/>
      <c r="D5" s="1817"/>
      <c r="E5" s="1957" t="s">
        <v>106</v>
      </c>
      <c r="F5" s="1958"/>
      <c r="G5" s="1959"/>
      <c r="H5" s="1976"/>
      <c r="I5" s="1976"/>
      <c r="J5" s="1976"/>
      <c r="K5" s="1977"/>
      <c r="L5" s="1976"/>
      <c r="M5" s="1978"/>
      <c r="N5" s="1963"/>
      <c r="O5" s="1963"/>
      <c r="P5" s="1963"/>
      <c r="Q5" s="1962"/>
      <c r="R5" s="1963"/>
      <c r="S5" s="1963"/>
      <c r="T5" s="1966"/>
      <c r="U5" s="1967"/>
      <c r="V5" s="1967"/>
      <c r="W5" s="1962"/>
      <c r="X5" s="1963"/>
      <c r="Y5" s="1968"/>
      <c r="Z5" s="17"/>
      <c r="AA5" s="17"/>
      <c r="AB5" s="17"/>
      <c r="AC5" s="17"/>
      <c r="AD5" s="17"/>
      <c r="AE5" s="17"/>
      <c r="AF5" s="17"/>
      <c r="AG5" s="17"/>
    </row>
    <row r="6" spans="2:33">
      <c r="C6" s="19" t="s">
        <v>1</v>
      </c>
      <c r="D6" s="19" t="s">
        <v>2</v>
      </c>
      <c r="E6" s="1969" t="s">
        <v>107</v>
      </c>
      <c r="F6" s="1891"/>
      <c r="G6" s="1970"/>
      <c r="H6" s="1894" t="s">
        <v>108</v>
      </c>
      <c r="I6" s="1894"/>
      <c r="J6" s="1894"/>
      <c r="K6" s="1971" t="s">
        <v>109</v>
      </c>
      <c r="L6" s="1894"/>
      <c r="M6" s="1896"/>
      <c r="N6" s="1891" t="s">
        <v>110</v>
      </c>
      <c r="O6" s="1891"/>
      <c r="P6" s="1891"/>
      <c r="Q6" s="1971" t="s">
        <v>111</v>
      </c>
      <c r="R6" s="1894"/>
      <c r="S6" s="1894"/>
      <c r="T6" s="1972" t="s">
        <v>112</v>
      </c>
      <c r="U6" s="1973"/>
      <c r="V6" s="1973"/>
      <c r="W6" s="1979" t="s">
        <v>113</v>
      </c>
      <c r="X6" s="1980"/>
      <c r="Y6" s="1981"/>
      <c r="Z6" s="20" t="s">
        <v>5</v>
      </c>
      <c r="AA6" s="20" t="s">
        <v>6</v>
      </c>
      <c r="AB6" s="439" t="s">
        <v>7</v>
      </c>
      <c r="AC6" s="17"/>
      <c r="AD6" s="17"/>
      <c r="AE6" s="17"/>
      <c r="AF6" s="17"/>
      <c r="AG6" s="17"/>
    </row>
    <row r="7" spans="2:33">
      <c r="C7" s="440" t="s">
        <v>8</v>
      </c>
      <c r="D7" s="459" t="s">
        <v>9</v>
      </c>
      <c r="E7" s="863"/>
      <c r="F7" s="94"/>
      <c r="G7" s="864"/>
      <c r="H7" s="128"/>
      <c r="I7" s="96"/>
      <c r="J7" s="98"/>
      <c r="K7" s="903"/>
      <c r="L7" s="829"/>
      <c r="M7" s="904"/>
      <c r="N7" s="866"/>
      <c r="O7" s="256"/>
      <c r="P7" s="257"/>
      <c r="Q7" s="350">
        <v>11</v>
      </c>
      <c r="R7" s="96">
        <v>21</v>
      </c>
      <c r="S7" s="98">
        <v>1</v>
      </c>
      <c r="T7" s="976">
        <v>11</v>
      </c>
      <c r="U7" s="141">
        <v>21</v>
      </c>
      <c r="V7" s="149">
        <v>1</v>
      </c>
      <c r="W7" s="898">
        <v>10</v>
      </c>
      <c r="X7" s="145">
        <v>20</v>
      </c>
      <c r="Y7" s="979">
        <v>1</v>
      </c>
      <c r="Z7" s="22">
        <f t="shared" ref="Z7:Z29" si="0">SUM(F7-E7-G7+I7-H7-J7+L7-K7-M7+O7-N7-P7+R7-Q7-S7+U7-T7-V7+X7-W7-Y7)</f>
        <v>27</v>
      </c>
      <c r="AA7" s="266"/>
      <c r="AB7" s="54"/>
      <c r="AC7" s="17"/>
      <c r="AD7" s="60" t="s">
        <v>10</v>
      </c>
      <c r="AE7" s="17"/>
      <c r="AF7" s="17"/>
      <c r="AG7" s="17"/>
    </row>
    <row r="8" spans="2:33">
      <c r="C8" s="1806" t="s">
        <v>11</v>
      </c>
      <c r="D8" s="442" t="s">
        <v>51</v>
      </c>
      <c r="E8" s="216"/>
      <c r="F8" s="104"/>
      <c r="G8" s="351"/>
      <c r="H8" s="120"/>
      <c r="I8" s="107"/>
      <c r="J8" s="109"/>
      <c r="K8" s="352"/>
      <c r="L8" s="185"/>
      <c r="M8" s="867"/>
      <c r="N8" s="868"/>
      <c r="O8" s="202"/>
      <c r="P8" s="203"/>
      <c r="Q8" s="348">
        <v>12</v>
      </c>
      <c r="R8" s="107">
        <v>21</v>
      </c>
      <c r="S8" s="109">
        <v>1</v>
      </c>
      <c r="T8" s="347">
        <v>7</v>
      </c>
      <c r="U8" s="228">
        <v>17</v>
      </c>
      <c r="V8" s="322">
        <v>1</v>
      </c>
      <c r="W8" s="329">
        <v>10</v>
      </c>
      <c r="X8" s="130">
        <v>20</v>
      </c>
      <c r="Y8" s="181">
        <v>1</v>
      </c>
      <c r="Z8" s="22">
        <f t="shared" si="0"/>
        <v>26</v>
      </c>
      <c r="AA8" s="266"/>
      <c r="AB8" s="55"/>
      <c r="AC8" s="17"/>
      <c r="AD8" s="62" t="s">
        <v>13</v>
      </c>
      <c r="AE8" s="1839"/>
      <c r="AF8" s="1840"/>
      <c r="AG8" s="1840"/>
    </row>
    <row r="9" spans="2:33">
      <c r="C9" s="1807"/>
      <c r="D9" s="472" t="s">
        <v>14</v>
      </c>
      <c r="E9" s="353"/>
      <c r="F9" s="112"/>
      <c r="G9" s="732"/>
      <c r="H9" s="132"/>
      <c r="I9" s="115"/>
      <c r="J9" s="117"/>
      <c r="K9" s="888"/>
      <c r="L9" s="286"/>
      <c r="M9" s="889"/>
      <c r="N9" s="865"/>
      <c r="O9" s="220"/>
      <c r="P9" s="869"/>
      <c r="Q9" s="358"/>
      <c r="R9" s="223"/>
      <c r="S9" s="224"/>
      <c r="T9" s="349">
        <v>11</v>
      </c>
      <c r="U9" s="115">
        <v>21</v>
      </c>
      <c r="V9" s="117">
        <v>1</v>
      </c>
      <c r="W9" s="899">
        <v>10</v>
      </c>
      <c r="X9" s="280">
        <v>20</v>
      </c>
      <c r="Y9" s="980">
        <v>1</v>
      </c>
      <c r="Z9" s="7">
        <f t="shared" si="0"/>
        <v>18</v>
      </c>
      <c r="AA9" s="267"/>
      <c r="AB9" s="56"/>
      <c r="AC9" s="17"/>
      <c r="AD9" s="61" t="s">
        <v>15</v>
      </c>
      <c r="AE9" s="1859"/>
      <c r="AF9" s="1860"/>
      <c r="AG9" s="1860"/>
    </row>
    <row r="10" spans="2:33">
      <c r="C10" s="1808" t="s">
        <v>52</v>
      </c>
      <c r="D10" s="341" t="s">
        <v>19</v>
      </c>
      <c r="E10" s="135"/>
      <c r="F10" s="136"/>
      <c r="G10" s="433"/>
      <c r="H10" s="100"/>
      <c r="I10" s="101"/>
      <c r="J10" s="102"/>
      <c r="K10" s="292"/>
      <c r="L10" s="293"/>
      <c r="M10" s="530"/>
      <c r="N10" s="884"/>
      <c r="O10" s="877"/>
      <c r="P10" s="895"/>
      <c r="Q10" s="894"/>
      <c r="R10" s="878"/>
      <c r="S10" s="891"/>
      <c r="T10" s="894"/>
      <c r="U10" s="878"/>
      <c r="V10" s="891"/>
      <c r="W10" s="900"/>
      <c r="X10" s="879"/>
      <c r="Y10" s="981"/>
      <c r="Z10" s="3">
        <f t="shared" si="0"/>
        <v>0</v>
      </c>
      <c r="AA10" s="264"/>
      <c r="AB10" s="36"/>
      <c r="AC10" s="17"/>
      <c r="AD10" s="59" t="s">
        <v>18</v>
      </c>
      <c r="AE10" s="1869"/>
      <c r="AF10" s="1860"/>
      <c r="AG10" s="1860"/>
    </row>
    <row r="11" spans="2:33">
      <c r="C11" s="1809"/>
      <c r="D11" s="479" t="s">
        <v>21</v>
      </c>
      <c r="E11" s="73"/>
      <c r="F11" s="74"/>
      <c r="G11" s="480"/>
      <c r="H11" s="406"/>
      <c r="I11" s="77"/>
      <c r="J11" s="78"/>
      <c r="K11" s="186"/>
      <c r="L11" s="187"/>
      <c r="M11" s="192"/>
      <c r="N11" s="418"/>
      <c r="O11" s="226"/>
      <c r="P11" s="248"/>
      <c r="Q11" s="76">
        <v>12</v>
      </c>
      <c r="R11" s="77">
        <v>21</v>
      </c>
      <c r="S11" s="78">
        <v>1</v>
      </c>
      <c r="T11" s="76">
        <v>11</v>
      </c>
      <c r="U11" s="77">
        <v>21</v>
      </c>
      <c r="V11" s="78">
        <v>1</v>
      </c>
      <c r="W11" s="173"/>
      <c r="X11" s="174"/>
      <c r="Y11" s="175"/>
      <c r="Z11" s="22">
        <f t="shared" si="0"/>
        <v>17</v>
      </c>
      <c r="AA11" s="266"/>
      <c r="AB11" s="37"/>
      <c r="AC11" s="17"/>
      <c r="AD11" s="58" t="s">
        <v>20</v>
      </c>
      <c r="AE11" s="23"/>
      <c r="AF11" s="45"/>
      <c r="AG11" s="45"/>
    </row>
    <row r="12" spans="2:33">
      <c r="C12" s="1809"/>
      <c r="D12" s="481" t="s">
        <v>17</v>
      </c>
      <c r="E12" s="82"/>
      <c r="F12" s="83"/>
      <c r="G12" s="413"/>
      <c r="H12" s="90"/>
      <c r="I12" s="86"/>
      <c r="J12" s="87"/>
      <c r="K12" s="407"/>
      <c r="L12" s="196"/>
      <c r="M12" s="310"/>
      <c r="N12" s="562"/>
      <c r="O12" s="346"/>
      <c r="P12" s="357"/>
      <c r="Q12" s="652">
        <v>7</v>
      </c>
      <c r="R12" s="653">
        <v>16</v>
      </c>
      <c r="S12" s="654">
        <v>1</v>
      </c>
      <c r="T12" s="85">
        <v>11</v>
      </c>
      <c r="U12" s="86">
        <v>21</v>
      </c>
      <c r="V12" s="87">
        <v>1</v>
      </c>
      <c r="W12" s="91">
        <v>8</v>
      </c>
      <c r="X12" s="92">
        <v>18</v>
      </c>
      <c r="Y12" s="547">
        <v>1</v>
      </c>
      <c r="Z12" s="7">
        <f t="shared" si="0"/>
        <v>26</v>
      </c>
      <c r="AA12" s="267"/>
      <c r="AB12" s="37"/>
      <c r="AC12" s="17"/>
      <c r="AD12" s="48" t="s">
        <v>22</v>
      </c>
      <c r="AE12" s="1859"/>
      <c r="AF12" s="1860"/>
      <c r="AG12" s="1860"/>
    </row>
    <row r="13" spans="2:33">
      <c r="B13" s="50"/>
      <c r="C13" s="1834" t="s">
        <v>23</v>
      </c>
      <c r="D13" s="490" t="s">
        <v>53</v>
      </c>
      <c r="E13" s="135"/>
      <c r="F13" s="136"/>
      <c r="G13" s="433"/>
      <c r="H13" s="100"/>
      <c r="I13" s="101"/>
      <c r="J13" s="102"/>
      <c r="K13" s="292"/>
      <c r="L13" s="293"/>
      <c r="M13" s="530"/>
      <c r="N13" s="510"/>
      <c r="O13" s="277"/>
      <c r="P13" s="278"/>
      <c r="Q13" s="240">
        <v>11</v>
      </c>
      <c r="R13" s="101">
        <v>21</v>
      </c>
      <c r="S13" s="102">
        <v>1</v>
      </c>
      <c r="T13" s="731">
        <v>7</v>
      </c>
      <c r="U13" s="692">
        <v>17</v>
      </c>
      <c r="V13" s="698">
        <v>1</v>
      </c>
      <c r="W13" s="244">
        <v>10</v>
      </c>
      <c r="X13" s="237">
        <v>20</v>
      </c>
      <c r="Y13" s="546">
        <v>1</v>
      </c>
      <c r="Z13" s="3">
        <f t="shared" si="0"/>
        <v>27</v>
      </c>
      <c r="AA13" s="264"/>
      <c r="AB13" s="38"/>
      <c r="AC13" s="17"/>
      <c r="AD13" s="23"/>
      <c r="AE13" s="17"/>
      <c r="AF13" s="17"/>
      <c r="AG13" s="17"/>
    </row>
    <row r="14" spans="2:33">
      <c r="B14" s="50"/>
      <c r="C14" s="1835"/>
      <c r="D14" s="491" t="s">
        <v>25</v>
      </c>
      <c r="E14" s="73"/>
      <c r="F14" s="74"/>
      <c r="G14" s="480"/>
      <c r="H14" s="417"/>
      <c r="I14" s="74"/>
      <c r="J14" s="75"/>
      <c r="K14" s="186"/>
      <c r="L14" s="187"/>
      <c r="M14" s="192"/>
      <c r="N14" s="418"/>
      <c r="O14" s="226"/>
      <c r="P14" s="248"/>
      <c r="Q14" s="676">
        <v>7</v>
      </c>
      <c r="R14" s="666">
        <v>17</v>
      </c>
      <c r="S14" s="667">
        <v>1</v>
      </c>
      <c r="T14" s="73">
        <v>11</v>
      </c>
      <c r="U14" s="74">
        <v>21</v>
      </c>
      <c r="V14" s="75">
        <v>1</v>
      </c>
      <c r="W14" s="79">
        <v>10</v>
      </c>
      <c r="X14" s="80">
        <v>20</v>
      </c>
      <c r="Y14" s="81">
        <v>1</v>
      </c>
      <c r="Z14" s="22">
        <f t="shared" si="0"/>
        <v>27</v>
      </c>
      <c r="AA14" s="266"/>
      <c r="AB14" s="36"/>
      <c r="AC14" s="17"/>
      <c r="AD14" s="23"/>
      <c r="AE14" s="17"/>
      <c r="AF14" s="17"/>
      <c r="AG14" s="17"/>
    </row>
    <row r="15" spans="2:33">
      <c r="B15" s="50"/>
      <c r="C15" s="1835"/>
      <c r="D15" s="491" t="s">
        <v>27</v>
      </c>
      <c r="E15" s="73"/>
      <c r="F15" s="74"/>
      <c r="G15" s="480"/>
      <c r="H15" s="406"/>
      <c r="I15" s="77"/>
      <c r="J15" s="78"/>
      <c r="K15" s="186"/>
      <c r="L15" s="187"/>
      <c r="M15" s="192"/>
      <c r="N15" s="418"/>
      <c r="O15" s="226"/>
      <c r="P15" s="248"/>
      <c r="Q15" s="73">
        <v>12</v>
      </c>
      <c r="R15" s="74">
        <v>21</v>
      </c>
      <c r="S15" s="75">
        <v>1</v>
      </c>
      <c r="T15" s="676">
        <v>7</v>
      </c>
      <c r="U15" s="666">
        <v>17</v>
      </c>
      <c r="V15" s="667">
        <v>1</v>
      </c>
      <c r="W15" s="173"/>
      <c r="X15" s="174"/>
      <c r="Y15" s="175"/>
      <c r="Z15" s="22">
        <f t="shared" si="0"/>
        <v>17</v>
      </c>
      <c r="AA15" s="266"/>
      <c r="AB15" s="827"/>
      <c r="AC15" s="17"/>
      <c r="AD15" s="17"/>
      <c r="AE15" s="17"/>
      <c r="AF15" s="17"/>
      <c r="AG15" s="17"/>
    </row>
    <row r="16" spans="2:33">
      <c r="B16" s="50"/>
      <c r="C16" s="1835"/>
      <c r="D16" s="491" t="s">
        <v>28</v>
      </c>
      <c r="E16" s="73"/>
      <c r="F16" s="74"/>
      <c r="G16" s="480"/>
      <c r="H16" s="406"/>
      <c r="I16" s="77"/>
      <c r="J16" s="78"/>
      <c r="K16" s="186"/>
      <c r="L16" s="187"/>
      <c r="M16" s="192"/>
      <c r="N16" s="170"/>
      <c r="O16" s="171"/>
      <c r="P16" s="172"/>
      <c r="Q16" s="373"/>
      <c r="R16" s="374"/>
      <c r="S16" s="375"/>
      <c r="T16" s="977"/>
      <c r="U16" s="975"/>
      <c r="V16" s="985"/>
      <c r="W16" s="370"/>
      <c r="X16" s="371"/>
      <c r="Y16" s="982"/>
      <c r="Z16" s="22">
        <f t="shared" si="0"/>
        <v>0</v>
      </c>
      <c r="AA16" s="266"/>
      <c r="AB16" s="827"/>
      <c r="AC16" s="17"/>
      <c r="AD16" s="17"/>
      <c r="AE16" s="17"/>
      <c r="AF16" s="17"/>
      <c r="AG16" s="17"/>
    </row>
    <row r="17" spans="2:33">
      <c r="B17" s="50"/>
      <c r="C17" s="1835"/>
      <c r="D17" s="492" t="s">
        <v>55</v>
      </c>
      <c r="E17" s="82"/>
      <c r="F17" s="83"/>
      <c r="G17" s="413"/>
      <c r="H17" s="90"/>
      <c r="I17" s="86"/>
      <c r="J17" s="87"/>
      <c r="K17" s="407"/>
      <c r="L17" s="196"/>
      <c r="M17" s="310"/>
      <c r="N17" s="562"/>
      <c r="O17" s="346"/>
      <c r="P17" s="357"/>
      <c r="Q17" s="319">
        <v>7</v>
      </c>
      <c r="R17" s="320">
        <v>16</v>
      </c>
      <c r="S17" s="321">
        <v>1</v>
      </c>
      <c r="T17" s="85">
        <v>11</v>
      </c>
      <c r="U17" s="86">
        <v>21</v>
      </c>
      <c r="V17" s="87">
        <v>1</v>
      </c>
      <c r="W17" s="211"/>
      <c r="X17" s="212"/>
      <c r="Y17" s="307"/>
      <c r="Z17" s="7">
        <f t="shared" si="0"/>
        <v>17</v>
      </c>
      <c r="AA17" s="267"/>
      <c r="AB17" s="827"/>
      <c r="AC17" s="17"/>
      <c r="AD17" s="17"/>
      <c r="AE17" s="17"/>
      <c r="AF17" s="17"/>
      <c r="AG17" s="17"/>
    </row>
    <row r="18" spans="2:33" ht="15" customHeight="1">
      <c r="B18" s="50"/>
      <c r="C18" s="1994" t="s">
        <v>84</v>
      </c>
      <c r="D18" s="852" t="s">
        <v>104</v>
      </c>
      <c r="E18" s="135"/>
      <c r="F18" s="136"/>
      <c r="G18" s="433"/>
      <c r="H18" s="542"/>
      <c r="I18" s="293"/>
      <c r="J18" s="294"/>
      <c r="K18" s="292"/>
      <c r="L18" s="293"/>
      <c r="M18" s="530"/>
      <c r="N18" s="510"/>
      <c r="O18" s="277"/>
      <c r="P18" s="278"/>
      <c r="Q18" s="240">
        <v>11</v>
      </c>
      <c r="R18" s="101">
        <v>21</v>
      </c>
      <c r="S18" s="102">
        <v>1</v>
      </c>
      <c r="T18" s="240">
        <v>12</v>
      </c>
      <c r="U18" s="101">
        <v>21</v>
      </c>
      <c r="V18" s="102">
        <v>1</v>
      </c>
      <c r="W18" s="682"/>
      <c r="X18" s="683"/>
      <c r="Y18" s="911"/>
      <c r="Z18" s="3">
        <f t="shared" si="0"/>
        <v>17</v>
      </c>
      <c r="AA18" s="264"/>
      <c r="AB18" s="46"/>
      <c r="AC18" s="17"/>
      <c r="AD18" s="17"/>
      <c r="AE18" s="17"/>
      <c r="AF18" s="17"/>
      <c r="AG18" s="17"/>
    </row>
    <row r="19" spans="2:33">
      <c r="B19" s="50"/>
      <c r="C19" s="1995"/>
      <c r="D19" s="873" t="s">
        <v>87</v>
      </c>
      <c r="E19" s="73"/>
      <c r="F19" s="74"/>
      <c r="G19" s="480"/>
      <c r="H19" s="417"/>
      <c r="I19" s="74"/>
      <c r="J19" s="75"/>
      <c r="K19" s="186"/>
      <c r="L19" s="187"/>
      <c r="M19" s="192"/>
      <c r="N19" s="418"/>
      <c r="O19" s="226"/>
      <c r="P19" s="248"/>
      <c r="Q19" s="225"/>
      <c r="R19" s="226"/>
      <c r="S19" s="248"/>
      <c r="T19" s="76">
        <v>11</v>
      </c>
      <c r="U19" s="77">
        <v>21</v>
      </c>
      <c r="V19" s="78">
        <v>1</v>
      </c>
      <c r="W19" s="79">
        <v>10</v>
      </c>
      <c r="X19" s="80">
        <v>20</v>
      </c>
      <c r="Y19" s="81">
        <v>1</v>
      </c>
      <c r="Z19" s="22">
        <f t="shared" si="0"/>
        <v>18</v>
      </c>
      <c r="AA19" s="266"/>
      <c r="AB19" s="827"/>
      <c r="AC19" s="17"/>
      <c r="AD19" s="17"/>
      <c r="AE19" s="17"/>
      <c r="AF19" s="17"/>
      <c r="AG19" s="17"/>
    </row>
    <row r="20" spans="2:33">
      <c r="B20" s="50"/>
      <c r="C20" s="1995"/>
      <c r="D20" s="873" t="s">
        <v>114</v>
      </c>
      <c r="E20" s="73"/>
      <c r="F20" s="74"/>
      <c r="G20" s="480"/>
      <c r="H20" s="417"/>
      <c r="I20" s="74"/>
      <c r="J20" s="75"/>
      <c r="K20" s="186"/>
      <c r="L20" s="187"/>
      <c r="M20" s="192"/>
      <c r="N20" s="418"/>
      <c r="O20" s="226"/>
      <c r="P20" s="248"/>
      <c r="Q20" s="225"/>
      <c r="R20" s="226"/>
      <c r="S20" s="248"/>
      <c r="T20" s="73">
        <v>14</v>
      </c>
      <c r="U20" s="74">
        <v>21</v>
      </c>
      <c r="V20" s="75">
        <v>1</v>
      </c>
      <c r="W20" s="79">
        <v>11</v>
      </c>
      <c r="X20" s="80">
        <v>20</v>
      </c>
      <c r="Y20" s="81">
        <v>1</v>
      </c>
      <c r="Z20" s="22">
        <f t="shared" si="0"/>
        <v>14</v>
      </c>
      <c r="AA20" s="266"/>
      <c r="AB20" s="46"/>
      <c r="AC20" s="17"/>
      <c r="AD20" s="17"/>
      <c r="AE20" s="17"/>
      <c r="AF20" s="17"/>
      <c r="AG20" s="17"/>
    </row>
    <row r="21" spans="2:33">
      <c r="B21" s="50"/>
      <c r="C21" s="1830" t="s">
        <v>115</v>
      </c>
      <c r="D21" s="885" t="s">
        <v>31</v>
      </c>
      <c r="E21" s="135"/>
      <c r="F21" s="136"/>
      <c r="G21" s="433"/>
      <c r="H21" s="100"/>
      <c r="I21" s="101"/>
      <c r="J21" s="102"/>
      <c r="K21" s="292"/>
      <c r="L21" s="293"/>
      <c r="M21" s="530"/>
      <c r="N21" s="510"/>
      <c r="O21" s="277"/>
      <c r="P21" s="278"/>
      <c r="Q21" s="249"/>
      <c r="R21" s="250"/>
      <c r="S21" s="263"/>
      <c r="T21" s="240">
        <v>11</v>
      </c>
      <c r="U21" s="101">
        <v>21</v>
      </c>
      <c r="V21" s="102">
        <v>1</v>
      </c>
      <c r="W21" s="244">
        <v>8</v>
      </c>
      <c r="X21" s="237">
        <v>18</v>
      </c>
      <c r="Y21" s="546">
        <v>1</v>
      </c>
      <c r="Z21" s="22">
        <f t="shared" si="0"/>
        <v>18</v>
      </c>
      <c r="AA21" s="266"/>
      <c r="AB21" s="827"/>
      <c r="AC21" s="17"/>
      <c r="AD21" s="17"/>
      <c r="AE21" s="17"/>
      <c r="AF21" s="17"/>
      <c r="AG21" s="17"/>
    </row>
    <row r="22" spans="2:33">
      <c r="B22" s="50"/>
      <c r="C22" s="1831"/>
      <c r="D22" s="886" t="s">
        <v>32</v>
      </c>
      <c r="E22" s="73"/>
      <c r="F22" s="74"/>
      <c r="G22" s="480"/>
      <c r="H22" s="406"/>
      <c r="I22" s="77"/>
      <c r="J22" s="78"/>
      <c r="K22" s="186"/>
      <c r="L22" s="187"/>
      <c r="M22" s="192"/>
      <c r="N22" s="418"/>
      <c r="O22" s="226"/>
      <c r="P22" s="248"/>
      <c r="Q22" s="76">
        <v>17</v>
      </c>
      <c r="R22" s="77">
        <v>21</v>
      </c>
      <c r="S22" s="78"/>
      <c r="T22" s="676">
        <v>7</v>
      </c>
      <c r="U22" s="666">
        <v>14</v>
      </c>
      <c r="V22" s="667">
        <v>1</v>
      </c>
      <c r="W22" s="79">
        <v>13</v>
      </c>
      <c r="X22" s="80">
        <v>20</v>
      </c>
      <c r="Y22" s="81">
        <v>1</v>
      </c>
      <c r="Z22" s="22">
        <f t="shared" si="0"/>
        <v>16</v>
      </c>
      <c r="AA22" s="266"/>
      <c r="AB22" s="827"/>
      <c r="AC22" s="17"/>
      <c r="AD22" s="17"/>
      <c r="AE22" s="17"/>
      <c r="AF22" s="17"/>
      <c r="AG22" s="17"/>
    </row>
    <row r="23" spans="2:33">
      <c r="B23" s="50"/>
      <c r="C23" s="1831"/>
      <c r="D23" s="886" t="s">
        <v>34</v>
      </c>
      <c r="E23" s="73"/>
      <c r="F23" s="74"/>
      <c r="G23" s="480"/>
      <c r="H23" s="406"/>
      <c r="I23" s="77"/>
      <c r="J23" s="78"/>
      <c r="K23" s="186"/>
      <c r="L23" s="187"/>
      <c r="M23" s="192"/>
      <c r="N23" s="418"/>
      <c r="O23" s="226"/>
      <c r="P23" s="248"/>
      <c r="Q23" s="676">
        <v>7</v>
      </c>
      <c r="R23" s="666">
        <v>15</v>
      </c>
      <c r="S23" s="667">
        <v>1</v>
      </c>
      <c r="T23" s="76">
        <v>12</v>
      </c>
      <c r="U23" s="77">
        <v>21</v>
      </c>
      <c r="V23" s="78">
        <v>1</v>
      </c>
      <c r="W23" s="79">
        <v>11</v>
      </c>
      <c r="X23" s="80">
        <v>20</v>
      </c>
      <c r="Y23" s="81">
        <v>1</v>
      </c>
      <c r="Z23" s="22">
        <f t="shared" si="0"/>
        <v>23</v>
      </c>
      <c r="AA23" s="266"/>
      <c r="AB23" s="46"/>
      <c r="AC23" s="17"/>
      <c r="AD23" s="17"/>
      <c r="AE23" s="17"/>
      <c r="AF23" s="17"/>
      <c r="AG23" s="17"/>
    </row>
    <row r="24" spans="2:33">
      <c r="B24" s="50"/>
      <c r="C24" s="1832"/>
      <c r="D24" s="887" t="s">
        <v>35</v>
      </c>
      <c r="E24" s="82"/>
      <c r="F24" s="83"/>
      <c r="G24" s="413"/>
      <c r="H24" s="90"/>
      <c r="I24" s="86"/>
      <c r="J24" s="87"/>
      <c r="K24" s="407"/>
      <c r="L24" s="196"/>
      <c r="M24" s="310"/>
      <c r="N24" s="562"/>
      <c r="O24" s="346"/>
      <c r="P24" s="357"/>
      <c r="Q24" s="85">
        <v>12</v>
      </c>
      <c r="R24" s="86">
        <v>21</v>
      </c>
      <c r="S24" s="87">
        <v>1</v>
      </c>
      <c r="T24" s="652">
        <v>7</v>
      </c>
      <c r="U24" s="653">
        <v>17</v>
      </c>
      <c r="V24" s="654">
        <v>1</v>
      </c>
      <c r="W24" s="211"/>
      <c r="X24" s="212"/>
      <c r="Y24" s="307"/>
      <c r="Z24" s="7">
        <f t="shared" si="0"/>
        <v>17</v>
      </c>
      <c r="AA24" s="267"/>
      <c r="AB24" s="26"/>
      <c r="AC24" s="17"/>
      <c r="AD24" s="17"/>
      <c r="AE24" s="17"/>
      <c r="AF24" s="17"/>
      <c r="AG24" s="17"/>
    </row>
    <row r="25" spans="2:33">
      <c r="B25" s="50"/>
      <c r="C25" s="1996" t="s">
        <v>116</v>
      </c>
      <c r="D25" s="694" t="s">
        <v>36</v>
      </c>
      <c r="E25" s="135"/>
      <c r="F25" s="136"/>
      <c r="G25" s="433"/>
      <c r="H25" s="100"/>
      <c r="I25" s="101"/>
      <c r="J25" s="102"/>
      <c r="K25" s="292"/>
      <c r="L25" s="293"/>
      <c r="M25" s="530"/>
      <c r="N25" s="892"/>
      <c r="O25" s="881"/>
      <c r="P25" s="896"/>
      <c r="Q25" s="240">
        <v>17</v>
      </c>
      <c r="R25" s="101">
        <v>21</v>
      </c>
      <c r="S25" s="102"/>
      <c r="T25" s="978">
        <v>14</v>
      </c>
      <c r="U25" s="882">
        <v>21</v>
      </c>
      <c r="V25" s="902">
        <v>1</v>
      </c>
      <c r="W25" s="901">
        <v>12</v>
      </c>
      <c r="X25" s="883">
        <v>20</v>
      </c>
      <c r="Y25" s="983">
        <v>1</v>
      </c>
      <c r="Z25" s="3">
        <f t="shared" si="0"/>
        <v>17</v>
      </c>
      <c r="AA25" s="264"/>
      <c r="AB25" s="27"/>
      <c r="AC25" s="17"/>
      <c r="AD25" s="17"/>
      <c r="AE25" s="17"/>
      <c r="AF25" s="17"/>
      <c r="AG25" s="17"/>
    </row>
    <row r="26" spans="2:33">
      <c r="B26" s="50"/>
      <c r="C26" s="1997"/>
      <c r="D26" s="695" t="s">
        <v>38</v>
      </c>
      <c r="E26" s="73"/>
      <c r="F26" s="74"/>
      <c r="G26" s="480"/>
      <c r="H26" s="417"/>
      <c r="I26" s="74"/>
      <c r="J26" s="75"/>
      <c r="K26" s="186"/>
      <c r="L26" s="187"/>
      <c r="M26" s="192"/>
      <c r="N26" s="893"/>
      <c r="O26" s="880"/>
      <c r="P26" s="897"/>
      <c r="Q26" s="73">
        <v>17</v>
      </c>
      <c r="R26" s="74">
        <v>21</v>
      </c>
      <c r="S26" s="75"/>
      <c r="T26" s="73">
        <v>15</v>
      </c>
      <c r="U26" s="74">
        <v>20</v>
      </c>
      <c r="V26" s="75">
        <v>1</v>
      </c>
      <c r="W26" s="79">
        <v>8</v>
      </c>
      <c r="X26" s="80">
        <v>15</v>
      </c>
      <c r="Y26" s="81">
        <v>1</v>
      </c>
      <c r="Z26" s="22">
        <f t="shared" si="0"/>
        <v>14</v>
      </c>
      <c r="AA26" s="266"/>
      <c r="AB26" s="860"/>
      <c r="AC26" s="17"/>
      <c r="AD26" s="17"/>
      <c r="AE26" s="17"/>
      <c r="AF26" s="17"/>
      <c r="AG26" s="17"/>
    </row>
    <row r="27" spans="2:33">
      <c r="B27" s="50"/>
      <c r="C27" s="1830" t="s">
        <v>88</v>
      </c>
      <c r="D27" s="695" t="s">
        <v>56</v>
      </c>
      <c r="E27" s="73"/>
      <c r="F27" s="74"/>
      <c r="G27" s="480"/>
      <c r="H27" s="417"/>
      <c r="I27" s="74"/>
      <c r="J27" s="75"/>
      <c r="K27" s="186"/>
      <c r="L27" s="187"/>
      <c r="M27" s="192"/>
      <c r="N27" s="418"/>
      <c r="O27" s="226"/>
      <c r="P27" s="248"/>
      <c r="Q27" s="73">
        <v>17</v>
      </c>
      <c r="R27" s="74">
        <v>21</v>
      </c>
      <c r="S27" s="75"/>
      <c r="T27" s="73">
        <v>14</v>
      </c>
      <c r="U27" s="74">
        <v>21</v>
      </c>
      <c r="V27" s="75">
        <v>1</v>
      </c>
      <c r="W27" s="79">
        <v>14</v>
      </c>
      <c r="X27" s="80">
        <v>20</v>
      </c>
      <c r="Y27" s="81">
        <v>1</v>
      </c>
      <c r="Z27" s="22">
        <f t="shared" si="0"/>
        <v>15</v>
      </c>
      <c r="AA27" s="266"/>
      <c r="AB27" s="26"/>
      <c r="AC27" s="17"/>
      <c r="AD27" s="17"/>
      <c r="AE27" s="17"/>
      <c r="AF27" s="17"/>
      <c r="AG27" s="17"/>
    </row>
    <row r="28" spans="2:33">
      <c r="B28" s="50"/>
      <c r="C28" s="1831"/>
      <c r="D28" s="932" t="s">
        <v>89</v>
      </c>
      <c r="E28" s="82"/>
      <c r="F28" s="83"/>
      <c r="G28" s="413"/>
      <c r="H28" s="89"/>
      <c r="I28" s="83"/>
      <c r="J28" s="84"/>
      <c r="K28" s="407"/>
      <c r="L28" s="196"/>
      <c r="M28" s="310"/>
      <c r="N28" s="562"/>
      <c r="O28" s="346"/>
      <c r="P28" s="357"/>
      <c r="Q28" s="82">
        <v>14</v>
      </c>
      <c r="R28" s="83">
        <v>21</v>
      </c>
      <c r="S28" s="84">
        <v>1</v>
      </c>
      <c r="T28" s="82">
        <v>14</v>
      </c>
      <c r="U28" s="83">
        <v>21</v>
      </c>
      <c r="V28" s="84">
        <v>1</v>
      </c>
      <c r="W28" s="91">
        <v>11</v>
      </c>
      <c r="X28" s="92">
        <v>20</v>
      </c>
      <c r="Y28" s="547">
        <v>1</v>
      </c>
      <c r="Z28" s="7">
        <f t="shared" si="0"/>
        <v>20</v>
      </c>
      <c r="AA28" s="267"/>
      <c r="AB28" s="28"/>
      <c r="AC28" s="17"/>
      <c r="AD28" s="17"/>
      <c r="AE28" s="17"/>
      <c r="AF28" s="17"/>
      <c r="AG28" s="17"/>
    </row>
    <row r="29" spans="2:33">
      <c r="B29" s="50"/>
      <c r="C29" s="959"/>
      <c r="D29" s="960" t="s">
        <v>117</v>
      </c>
      <c r="E29" s="961"/>
      <c r="F29" s="962"/>
      <c r="G29" s="963"/>
      <c r="H29" s="961"/>
      <c r="I29" s="962"/>
      <c r="J29" s="963"/>
      <c r="K29" s="961"/>
      <c r="L29" s="962"/>
      <c r="M29" s="963"/>
      <c r="N29" s="965"/>
      <c r="O29" s="966"/>
      <c r="P29" s="967"/>
      <c r="Q29" s="961">
        <v>17</v>
      </c>
      <c r="R29" s="962">
        <v>21</v>
      </c>
      <c r="S29" s="963"/>
      <c r="T29" s="968">
        <v>7</v>
      </c>
      <c r="U29" s="969">
        <v>16</v>
      </c>
      <c r="V29" s="986">
        <v>1</v>
      </c>
      <c r="W29" s="409">
        <v>12</v>
      </c>
      <c r="X29" s="410">
        <v>20</v>
      </c>
      <c r="Y29" s="984">
        <v>1</v>
      </c>
      <c r="Z29" s="439">
        <f t="shared" si="0"/>
        <v>19</v>
      </c>
      <c r="AA29" s="952"/>
      <c r="AB29" s="964"/>
      <c r="AC29" s="17"/>
      <c r="AD29" s="17"/>
      <c r="AE29" s="17"/>
      <c r="AF29" s="17"/>
      <c r="AG29" s="17"/>
    </row>
    <row r="30" spans="2:33">
      <c r="B30" s="50"/>
      <c r="C30" s="32"/>
      <c r="D30" s="295"/>
      <c r="E30" s="1890">
        <f>COUNT(E7:E28)</f>
        <v>0</v>
      </c>
      <c r="F30" s="1891"/>
      <c r="G30" s="1892"/>
      <c r="H30" s="1890">
        <f>COUNT(H7:H28)</f>
        <v>0</v>
      </c>
      <c r="I30" s="1891"/>
      <c r="J30" s="1892"/>
      <c r="K30" s="1890">
        <f>COUNT(K7:K28)</f>
        <v>0</v>
      </c>
      <c r="L30" s="1891"/>
      <c r="M30" s="1892"/>
      <c r="N30" s="1890">
        <f>COUNT(N7:N28)</f>
        <v>0</v>
      </c>
      <c r="O30" s="1891"/>
      <c r="P30" s="1892"/>
      <c r="Q30" s="1890">
        <f>COUNT(Q7:Q28)</f>
        <v>16</v>
      </c>
      <c r="R30" s="1891"/>
      <c r="S30" s="1892"/>
      <c r="T30" s="1890">
        <f>COUNT(T7:T28)</f>
        <v>20</v>
      </c>
      <c r="U30" s="1891"/>
      <c r="V30" s="1892"/>
      <c r="W30" s="1890">
        <f>COUNT(W7:W29)</f>
        <v>16</v>
      </c>
      <c r="X30" s="1891"/>
      <c r="Y30" s="1892"/>
      <c r="Z30" s="23"/>
      <c r="AA30" s="23"/>
      <c r="AB30" s="17"/>
      <c r="AC30" s="17"/>
      <c r="AD30" s="17"/>
      <c r="AE30" s="17"/>
      <c r="AF30" s="17"/>
      <c r="AG30" s="17"/>
    </row>
    <row r="31" spans="2:33"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AC31" s="17"/>
      <c r="AD31" s="17"/>
      <c r="AE31" s="17"/>
      <c r="AF31" s="17"/>
      <c r="AG31" s="17"/>
    </row>
    <row r="32" spans="2:33">
      <c r="E32" s="50"/>
      <c r="F32" s="50"/>
      <c r="G32" s="50"/>
      <c r="H32" s="50"/>
      <c r="I32" s="50"/>
      <c r="J32" s="50"/>
      <c r="K32" s="50"/>
      <c r="L32" s="50"/>
      <c r="M32" s="50"/>
      <c r="N32" s="1998" t="s">
        <v>118</v>
      </c>
      <c r="O32" s="1999"/>
      <c r="P32" s="2000"/>
      <c r="Q32" s="50"/>
      <c r="R32" s="50"/>
      <c r="S32" s="50"/>
      <c r="T32" s="50"/>
      <c r="U32" s="50"/>
      <c r="V32" s="50"/>
      <c r="W32" s="50"/>
      <c r="X32" s="50"/>
      <c r="Y32" s="50"/>
      <c r="AC32" s="17"/>
      <c r="AD32" s="17"/>
      <c r="AE32" s="17"/>
      <c r="AF32" s="17"/>
      <c r="AG32" s="17"/>
    </row>
    <row r="33" spans="2:33">
      <c r="E33" s="50"/>
      <c r="F33" s="50"/>
      <c r="G33" s="50"/>
      <c r="H33" s="50"/>
      <c r="I33" s="50"/>
      <c r="J33" s="50"/>
      <c r="K33" s="50"/>
      <c r="L33" s="50"/>
      <c r="M33" s="50"/>
      <c r="N33" s="2001"/>
      <c r="O33" s="2002"/>
      <c r="P33" s="2003"/>
      <c r="Q33" s="50"/>
      <c r="R33" s="50"/>
      <c r="S33" s="50"/>
      <c r="T33" s="50"/>
      <c r="U33" s="50"/>
      <c r="V33" s="50"/>
      <c r="W33" s="50"/>
      <c r="X33" s="50"/>
      <c r="Y33" s="50"/>
      <c r="AC33" s="17"/>
      <c r="AD33" s="17"/>
      <c r="AE33" s="17"/>
      <c r="AF33" s="17"/>
      <c r="AG33" s="17"/>
    </row>
    <row r="34" spans="2:33">
      <c r="C34" s="1817" t="s">
        <v>119</v>
      </c>
      <c r="D34" s="1817"/>
      <c r="E34" s="1982" t="s">
        <v>120</v>
      </c>
      <c r="F34" s="1983"/>
      <c r="G34" s="1983"/>
      <c r="H34" s="1954" t="s">
        <v>121</v>
      </c>
      <c r="I34" s="1955"/>
      <c r="J34" s="1955"/>
      <c r="K34" s="1990" t="s">
        <v>122</v>
      </c>
      <c r="L34" s="1991"/>
      <c r="M34" s="1991"/>
      <c r="N34" s="1986" t="s">
        <v>123</v>
      </c>
      <c r="O34" s="1987"/>
      <c r="P34" s="1987"/>
      <c r="Q34" s="1874"/>
      <c r="R34" s="1875"/>
      <c r="S34" s="1875"/>
      <c r="T34" s="1874"/>
      <c r="U34" s="1875"/>
      <c r="V34" s="1875"/>
      <c r="W34" s="1874"/>
      <c r="X34" s="1875"/>
      <c r="Y34" s="1876"/>
      <c r="Z34" s="50"/>
      <c r="AB34" s="47"/>
      <c r="AC34" s="17"/>
      <c r="AD34" s="17"/>
      <c r="AE34" s="17"/>
      <c r="AF34" s="17"/>
      <c r="AG34" s="17"/>
    </row>
    <row r="35" spans="2:33" ht="19.8">
      <c r="C35" s="1818"/>
      <c r="D35" s="1818"/>
      <c r="E35" s="1984"/>
      <c r="F35" s="1985"/>
      <c r="G35" s="1985"/>
      <c r="H35" s="1977"/>
      <c r="I35" s="1976"/>
      <c r="J35" s="1976"/>
      <c r="K35" s="1992"/>
      <c r="L35" s="1993"/>
      <c r="M35" s="1993"/>
      <c r="N35" s="1988"/>
      <c r="O35" s="1989"/>
      <c r="P35" s="1989"/>
      <c r="Q35" s="1962"/>
      <c r="R35" s="1963"/>
      <c r="S35" s="1963"/>
      <c r="T35" s="1962"/>
      <c r="U35" s="1963"/>
      <c r="V35" s="1963"/>
      <c r="W35" s="1962"/>
      <c r="X35" s="1963"/>
      <c r="Y35" s="1968"/>
      <c r="Z35" s="17"/>
      <c r="AA35" s="17"/>
      <c r="AB35" s="17"/>
      <c r="AC35" s="17"/>
      <c r="AD35" s="1960" t="s">
        <v>42</v>
      </c>
      <c r="AE35" s="1961"/>
      <c r="AF35" s="17"/>
      <c r="AG35" s="17"/>
    </row>
    <row r="36" spans="2:33">
      <c r="C36" s="19" t="s">
        <v>1</v>
      </c>
      <c r="D36" s="19" t="s">
        <v>2</v>
      </c>
      <c r="E36" s="2035" t="s">
        <v>124</v>
      </c>
      <c r="F36" s="2036"/>
      <c r="G36" s="2036"/>
      <c r="H36" s="1913" t="s">
        <v>125</v>
      </c>
      <c r="I36" s="1950"/>
      <c r="J36" s="1950"/>
      <c r="K36" s="1913" t="s">
        <v>126</v>
      </c>
      <c r="L36" s="1950"/>
      <c r="M36" s="1950"/>
      <c r="N36" s="1931" t="s">
        <v>127</v>
      </c>
      <c r="O36" s="1932"/>
      <c r="P36" s="1932"/>
      <c r="Q36" s="1913" t="s">
        <v>128</v>
      </c>
      <c r="R36" s="1950"/>
      <c r="S36" s="1950"/>
      <c r="T36" s="1880" t="s">
        <v>129</v>
      </c>
      <c r="U36" s="1881"/>
      <c r="V36" s="1881"/>
      <c r="W36" s="1951" t="s">
        <v>130</v>
      </c>
      <c r="X36" s="1854"/>
      <c r="Y36" s="1854"/>
      <c r="Z36" s="19" t="s">
        <v>5</v>
      </c>
      <c r="AA36" s="18" t="s">
        <v>6</v>
      </c>
      <c r="AB36" s="20" t="s">
        <v>7</v>
      </c>
      <c r="AC36" s="17"/>
      <c r="AD36" s="906" t="s">
        <v>2</v>
      </c>
      <c r="AE36" s="943" t="s">
        <v>50</v>
      </c>
      <c r="AF36" s="17"/>
      <c r="AG36" s="17"/>
    </row>
    <row r="37" spans="2:33">
      <c r="B37" s="50"/>
      <c r="C37" s="924" t="s">
        <v>8</v>
      </c>
      <c r="D37" s="925" t="s">
        <v>9</v>
      </c>
      <c r="E37" s="648">
        <v>7</v>
      </c>
      <c r="F37" s="649">
        <v>17</v>
      </c>
      <c r="G37" s="650">
        <v>1</v>
      </c>
      <c r="H37" s="590"/>
      <c r="I37" s="572"/>
      <c r="J37" s="914"/>
      <c r="K37" s="602">
        <v>10.5</v>
      </c>
      <c r="L37" s="603">
        <v>20.5</v>
      </c>
      <c r="M37" s="921">
        <v>1</v>
      </c>
      <c r="N37" s="648">
        <v>7</v>
      </c>
      <c r="O37" s="649">
        <v>16</v>
      </c>
      <c r="P37" s="650">
        <v>1</v>
      </c>
      <c r="Q37" s="907">
        <v>10.5</v>
      </c>
      <c r="R37" s="571">
        <v>20.5</v>
      </c>
      <c r="S37" s="587">
        <v>1</v>
      </c>
      <c r="T37" s="907">
        <v>10.5</v>
      </c>
      <c r="U37" s="571">
        <v>20.5</v>
      </c>
      <c r="V37" s="587">
        <v>1</v>
      </c>
      <c r="W37" s="908"/>
      <c r="X37" s="573"/>
      <c r="Y37" s="600"/>
      <c r="Z37" s="19">
        <f t="shared" ref="Z37:Z46" si="1">SUM(F37-E37-G37+I37-H37-J37+L37-K37-M37+O37-N37-P37+R37-Q37-S37+U37-T37-V37+X37-W37-Y37)</f>
        <v>44</v>
      </c>
      <c r="AA37" s="18"/>
      <c r="AB37" s="826"/>
      <c r="AC37" s="17"/>
      <c r="AD37" s="926" t="s">
        <v>9</v>
      </c>
      <c r="AE37" s="910">
        <f>Z7+Z37+Z67+Z94+Z124</f>
        <v>203</v>
      </c>
      <c r="AF37" s="17"/>
      <c r="AG37" s="17"/>
    </row>
    <row r="38" spans="2:33">
      <c r="B38" s="50"/>
      <c r="C38" s="2004" t="s">
        <v>11</v>
      </c>
      <c r="D38" s="204" t="s">
        <v>51</v>
      </c>
      <c r="E38" s="292">
        <v>9</v>
      </c>
      <c r="F38" s="293">
        <v>18</v>
      </c>
      <c r="G38" s="294">
        <v>1</v>
      </c>
      <c r="H38" s="632">
        <v>6</v>
      </c>
      <c r="I38" s="633">
        <v>16</v>
      </c>
      <c r="J38" s="862">
        <v>1</v>
      </c>
      <c r="K38" s="586"/>
      <c r="L38" s="570"/>
      <c r="M38" s="592"/>
      <c r="N38" s="292">
        <v>10.5</v>
      </c>
      <c r="O38" s="293">
        <v>20.5</v>
      </c>
      <c r="P38" s="294">
        <v>1</v>
      </c>
      <c r="Q38" s="586"/>
      <c r="R38" s="570"/>
      <c r="S38" s="592"/>
      <c r="T38" s="292">
        <v>10.5</v>
      </c>
      <c r="U38" s="293">
        <v>20.5</v>
      </c>
      <c r="V38" s="294">
        <v>1</v>
      </c>
      <c r="W38" s="244">
        <v>10</v>
      </c>
      <c r="X38" s="237">
        <v>20</v>
      </c>
      <c r="Y38" s="245">
        <v>1</v>
      </c>
      <c r="Z38" s="365">
        <f t="shared" si="1"/>
        <v>44</v>
      </c>
      <c r="AA38" s="2"/>
      <c r="AB38" s="268"/>
      <c r="AC38" s="17"/>
      <c r="AD38" s="922" t="s">
        <v>51</v>
      </c>
      <c r="AE38" s="910">
        <f t="shared" ref="AE38:AE56" si="2">Z8+Z38+Z68+Z96+Z126</f>
        <v>202</v>
      </c>
      <c r="AF38" s="17"/>
      <c r="AG38" s="17"/>
    </row>
    <row r="39" spans="2:33">
      <c r="B39" s="50"/>
      <c r="C39" s="2005"/>
      <c r="D39" s="205" t="s">
        <v>14</v>
      </c>
      <c r="E39" s="845">
        <v>13</v>
      </c>
      <c r="F39" s="843">
        <v>23</v>
      </c>
      <c r="G39" s="973">
        <v>1</v>
      </c>
      <c r="H39" s="407">
        <v>10.5</v>
      </c>
      <c r="I39" s="196">
        <v>20.5</v>
      </c>
      <c r="J39" s="408">
        <v>1</v>
      </c>
      <c r="K39" s="407">
        <v>11.5</v>
      </c>
      <c r="L39" s="196">
        <v>20.5</v>
      </c>
      <c r="M39" s="408">
        <v>1</v>
      </c>
      <c r="N39" s="407">
        <v>10.5</v>
      </c>
      <c r="O39" s="196">
        <v>20.5</v>
      </c>
      <c r="P39" s="408">
        <v>1</v>
      </c>
      <c r="Q39" s="939">
        <v>7</v>
      </c>
      <c r="R39" s="940">
        <v>17</v>
      </c>
      <c r="S39" s="974">
        <v>1</v>
      </c>
      <c r="T39" s="193"/>
      <c r="U39" s="194"/>
      <c r="V39" s="195"/>
      <c r="W39" s="211"/>
      <c r="X39" s="212"/>
      <c r="Y39" s="213"/>
      <c r="Z39" s="364">
        <f t="shared" si="1"/>
        <v>44</v>
      </c>
      <c r="AA39" s="525"/>
      <c r="AB39" s="56"/>
      <c r="AC39" s="17"/>
      <c r="AD39" s="928" t="s">
        <v>14</v>
      </c>
      <c r="AE39" s="910">
        <f t="shared" si="2"/>
        <v>194</v>
      </c>
      <c r="AF39" s="17"/>
      <c r="AG39" s="17"/>
    </row>
    <row r="40" spans="2:33">
      <c r="B40" s="50"/>
      <c r="C40" s="1952" t="s">
        <v>52</v>
      </c>
      <c r="D40" s="929" t="s">
        <v>19</v>
      </c>
      <c r="E40" s="918"/>
      <c r="F40" s="919"/>
      <c r="G40" s="920"/>
      <c r="H40" s="918"/>
      <c r="I40" s="919"/>
      <c r="J40" s="920"/>
      <c r="K40" s="918"/>
      <c r="L40" s="919"/>
      <c r="M40" s="920"/>
      <c r="N40" s="918"/>
      <c r="O40" s="919"/>
      <c r="P40" s="920"/>
      <c r="Q40" s="918"/>
      <c r="R40" s="919"/>
      <c r="S40" s="920"/>
      <c r="T40" s="918"/>
      <c r="U40" s="919"/>
      <c r="V40" s="920"/>
      <c r="W40" s="682"/>
      <c r="X40" s="683"/>
      <c r="Y40" s="684"/>
      <c r="Z40" s="365">
        <f t="shared" si="1"/>
        <v>0</v>
      </c>
      <c r="AA40" s="2"/>
      <c r="AB40" s="268"/>
      <c r="AC40" s="17"/>
      <c r="AD40" s="942" t="s">
        <v>19</v>
      </c>
      <c r="AE40" s="910">
        <f t="shared" si="2"/>
        <v>132</v>
      </c>
      <c r="AF40" s="17"/>
      <c r="AG40" s="17"/>
    </row>
    <row r="41" spans="2:33">
      <c r="B41" s="50"/>
      <c r="C41" s="2006"/>
      <c r="D41" s="930" t="s">
        <v>21</v>
      </c>
      <c r="E41" s="424"/>
      <c r="F41" s="198"/>
      <c r="G41" s="431"/>
      <c r="H41" s="186">
        <v>10.5</v>
      </c>
      <c r="I41" s="187">
        <v>20.5</v>
      </c>
      <c r="J41" s="188">
        <v>1</v>
      </c>
      <c r="K41" s="424"/>
      <c r="L41" s="198"/>
      <c r="M41" s="431"/>
      <c r="N41" s="635">
        <v>7</v>
      </c>
      <c r="O41" s="636">
        <v>17</v>
      </c>
      <c r="P41" s="651">
        <v>1</v>
      </c>
      <c r="Q41" s="186">
        <v>11.5</v>
      </c>
      <c r="R41" s="187">
        <v>20.5</v>
      </c>
      <c r="S41" s="188">
        <v>1</v>
      </c>
      <c r="T41" s="186">
        <v>10.5</v>
      </c>
      <c r="U41" s="187">
        <v>20.5</v>
      </c>
      <c r="V41" s="188">
        <v>1</v>
      </c>
      <c r="W41" s="79">
        <v>10</v>
      </c>
      <c r="X41" s="80">
        <v>20</v>
      </c>
      <c r="Y41" s="247">
        <v>1</v>
      </c>
      <c r="Z41" s="362">
        <f t="shared" si="1"/>
        <v>44</v>
      </c>
      <c r="AA41" s="297"/>
      <c r="AB41" s="55"/>
      <c r="AC41" s="17"/>
      <c r="AD41" s="923" t="s">
        <v>21</v>
      </c>
      <c r="AE41" s="910">
        <f t="shared" si="2"/>
        <v>169</v>
      </c>
      <c r="AF41" s="17"/>
      <c r="AG41" s="17"/>
    </row>
    <row r="42" spans="2:33">
      <c r="B42" s="50"/>
      <c r="C42" s="1953"/>
      <c r="D42" s="931" t="s">
        <v>53</v>
      </c>
      <c r="E42" s="407">
        <v>10.5</v>
      </c>
      <c r="F42" s="196">
        <v>20.5</v>
      </c>
      <c r="G42" s="408">
        <v>1</v>
      </c>
      <c r="H42" s="193"/>
      <c r="I42" s="194"/>
      <c r="J42" s="195"/>
      <c r="K42" s="407">
        <v>10.5</v>
      </c>
      <c r="L42" s="196">
        <v>20.5</v>
      </c>
      <c r="M42" s="408">
        <v>1</v>
      </c>
      <c r="N42" s="407">
        <v>10.5</v>
      </c>
      <c r="O42" s="196">
        <v>20.5</v>
      </c>
      <c r="P42" s="408">
        <v>1</v>
      </c>
      <c r="Q42" s="407">
        <v>11.5</v>
      </c>
      <c r="R42" s="196">
        <v>20.5</v>
      </c>
      <c r="S42" s="408">
        <v>1</v>
      </c>
      <c r="T42" s="939">
        <v>7</v>
      </c>
      <c r="U42" s="940">
        <v>17</v>
      </c>
      <c r="V42" s="974">
        <v>1</v>
      </c>
      <c r="W42" s="211"/>
      <c r="X42" s="212"/>
      <c r="Y42" s="213"/>
      <c r="Z42" s="364">
        <f t="shared" si="1"/>
        <v>44</v>
      </c>
      <c r="AA42" s="525"/>
      <c r="AB42" s="56"/>
      <c r="AC42" s="17"/>
      <c r="AD42" s="927" t="s">
        <v>53</v>
      </c>
      <c r="AE42" s="910">
        <f t="shared" si="2"/>
        <v>202</v>
      </c>
      <c r="AF42" s="23"/>
      <c r="AG42" s="17"/>
    </row>
    <row r="43" spans="2:33">
      <c r="B43" s="50"/>
      <c r="C43" s="2007" t="s">
        <v>131</v>
      </c>
      <c r="D43" s="490" t="s">
        <v>25</v>
      </c>
      <c r="E43" s="970">
        <v>13</v>
      </c>
      <c r="F43" s="971">
        <v>23</v>
      </c>
      <c r="G43" s="972">
        <v>1</v>
      </c>
      <c r="H43" s="292">
        <v>10.5</v>
      </c>
      <c r="I43" s="293">
        <v>20.5</v>
      </c>
      <c r="J43" s="294">
        <v>1</v>
      </c>
      <c r="K43" s="586"/>
      <c r="L43" s="570"/>
      <c r="M43" s="592"/>
      <c r="N43" s="292">
        <v>10.5</v>
      </c>
      <c r="O43" s="293">
        <v>20.5</v>
      </c>
      <c r="P43" s="294">
        <v>1</v>
      </c>
      <c r="Q43" s="632">
        <v>7</v>
      </c>
      <c r="R43" s="633">
        <v>17</v>
      </c>
      <c r="S43" s="862">
        <v>1</v>
      </c>
      <c r="T43" s="292">
        <v>11.5</v>
      </c>
      <c r="U43" s="293">
        <v>20.5</v>
      </c>
      <c r="V43" s="294">
        <v>1</v>
      </c>
      <c r="W43" s="682"/>
      <c r="X43" s="683"/>
      <c r="Y43" s="684"/>
      <c r="Z43" s="365">
        <f t="shared" si="1"/>
        <v>44</v>
      </c>
      <c r="AA43" s="2"/>
      <c r="AB43" s="268"/>
      <c r="AC43" s="17"/>
      <c r="AD43" s="874" t="s">
        <v>25</v>
      </c>
      <c r="AE43" s="910">
        <f t="shared" si="2"/>
        <v>203</v>
      </c>
      <c r="AF43" s="17"/>
      <c r="AG43" s="17"/>
    </row>
    <row r="44" spans="2:33">
      <c r="B44" s="50"/>
      <c r="C44" s="2007"/>
      <c r="D44" s="491" t="s">
        <v>27</v>
      </c>
      <c r="E44" s="424"/>
      <c r="F44" s="198"/>
      <c r="G44" s="431"/>
      <c r="H44" s="186">
        <v>10.5</v>
      </c>
      <c r="I44" s="187">
        <v>20.5</v>
      </c>
      <c r="J44" s="188">
        <v>1</v>
      </c>
      <c r="K44" s="994">
        <v>6</v>
      </c>
      <c r="L44" s="995">
        <v>16</v>
      </c>
      <c r="M44" s="996">
        <v>1</v>
      </c>
      <c r="N44" s="635">
        <v>7</v>
      </c>
      <c r="O44" s="636">
        <v>17</v>
      </c>
      <c r="P44" s="651">
        <v>1</v>
      </c>
      <c r="Q44" s="424"/>
      <c r="R44" s="198"/>
      <c r="S44" s="431"/>
      <c r="T44" s="186">
        <v>10.5</v>
      </c>
      <c r="U44" s="187">
        <v>20.5</v>
      </c>
      <c r="V44" s="188">
        <v>1</v>
      </c>
      <c r="W44" s="79">
        <v>10</v>
      </c>
      <c r="X44" s="80">
        <v>20</v>
      </c>
      <c r="Y44" s="247">
        <v>1</v>
      </c>
      <c r="Z44" s="362">
        <f t="shared" si="1"/>
        <v>45</v>
      </c>
      <c r="AA44" s="297"/>
      <c r="AB44" s="55"/>
      <c r="AC44" s="17"/>
      <c r="AD44" s="875" t="s">
        <v>27</v>
      </c>
      <c r="AE44" s="910">
        <f t="shared" si="2"/>
        <v>132</v>
      </c>
      <c r="AF44" s="17"/>
      <c r="AG44" s="17"/>
    </row>
    <row r="45" spans="2:33" ht="15" customHeight="1">
      <c r="B45" s="50"/>
      <c r="C45" s="2007"/>
      <c r="D45" s="491" t="s">
        <v>28</v>
      </c>
      <c r="E45" s="987"/>
      <c r="F45" s="988"/>
      <c r="G45" s="989"/>
      <c r="H45" s="987"/>
      <c r="I45" s="988"/>
      <c r="J45" s="989"/>
      <c r="K45" s="987"/>
      <c r="L45" s="988"/>
      <c r="M45" s="989"/>
      <c r="N45" s="987"/>
      <c r="O45" s="988"/>
      <c r="P45" s="989"/>
      <c r="Q45" s="987"/>
      <c r="R45" s="988"/>
      <c r="S45" s="989"/>
      <c r="T45" s="987"/>
      <c r="U45" s="988"/>
      <c r="V45" s="989"/>
      <c r="W45" s="990"/>
      <c r="X45" s="991"/>
      <c r="Y45" s="992"/>
      <c r="Z45" s="362">
        <f t="shared" si="1"/>
        <v>0</v>
      </c>
      <c r="AA45" s="297"/>
      <c r="AB45" s="55"/>
      <c r="AC45" s="17"/>
      <c r="AD45" s="875" t="s">
        <v>28</v>
      </c>
      <c r="AE45" s="910">
        <f t="shared" si="2"/>
        <v>61</v>
      </c>
      <c r="AF45" s="17"/>
      <c r="AG45" s="17"/>
    </row>
    <row r="46" spans="2:33">
      <c r="B46" s="50"/>
      <c r="C46" s="2007"/>
      <c r="D46" s="491" t="s">
        <v>31</v>
      </c>
      <c r="E46" s="795">
        <v>13</v>
      </c>
      <c r="F46" s="796">
        <v>23</v>
      </c>
      <c r="G46" s="797">
        <v>1</v>
      </c>
      <c r="H46" s="186">
        <v>10.5</v>
      </c>
      <c r="I46" s="187">
        <v>20.5</v>
      </c>
      <c r="J46" s="188">
        <v>1</v>
      </c>
      <c r="K46" s="635">
        <v>6</v>
      </c>
      <c r="L46" s="636">
        <v>16</v>
      </c>
      <c r="M46" s="651">
        <v>1</v>
      </c>
      <c r="N46" s="424"/>
      <c r="O46" s="198"/>
      <c r="P46" s="431"/>
      <c r="Q46" s="186">
        <v>11.5</v>
      </c>
      <c r="R46" s="187">
        <v>20.5</v>
      </c>
      <c r="S46" s="188">
        <v>1</v>
      </c>
      <c r="T46" s="635">
        <v>7</v>
      </c>
      <c r="U46" s="636">
        <v>17</v>
      </c>
      <c r="V46" s="651">
        <v>1</v>
      </c>
      <c r="W46" s="173"/>
      <c r="X46" s="174"/>
      <c r="Y46" s="360"/>
      <c r="Z46" s="362">
        <f t="shared" si="1"/>
        <v>44</v>
      </c>
      <c r="AA46" s="297"/>
      <c r="AB46" s="55"/>
      <c r="AC46" s="17"/>
      <c r="AD46" s="875" t="s">
        <v>31</v>
      </c>
      <c r="AE46" s="910">
        <f t="shared" si="2"/>
        <v>176</v>
      </c>
      <c r="AF46" s="17"/>
      <c r="AG46" s="17"/>
    </row>
    <row r="47" spans="2:33">
      <c r="B47" s="50"/>
      <c r="C47" s="2007"/>
      <c r="D47" s="491" t="s">
        <v>55</v>
      </c>
      <c r="E47" s="186">
        <v>10.5</v>
      </c>
      <c r="F47" s="187">
        <v>20.5</v>
      </c>
      <c r="G47" s="188">
        <v>1</v>
      </c>
      <c r="H47" s="186">
        <v>10.5</v>
      </c>
      <c r="I47" s="187">
        <v>20.5</v>
      </c>
      <c r="J47" s="188">
        <v>1</v>
      </c>
      <c r="K47" s="635">
        <v>6</v>
      </c>
      <c r="L47" s="636">
        <v>16</v>
      </c>
      <c r="M47" s="651">
        <v>1</v>
      </c>
      <c r="N47" s="424"/>
      <c r="O47" s="198"/>
      <c r="P47" s="431"/>
      <c r="Q47" s="186">
        <v>11.5</v>
      </c>
      <c r="R47" s="187">
        <v>20.5</v>
      </c>
      <c r="S47" s="188">
        <v>1</v>
      </c>
      <c r="T47" s="635">
        <v>7</v>
      </c>
      <c r="U47" s="636">
        <v>17</v>
      </c>
      <c r="V47" s="651">
        <v>1</v>
      </c>
      <c r="W47" s="173"/>
      <c r="X47" s="174"/>
      <c r="Y47" s="360"/>
      <c r="Z47" s="362">
        <f t="shared" ref="Z47:Z58" si="3">SUM(F47-E47-G47+I47-H47-J47+L47-K47-M47+O47-N47-P47+R47-Q47-S47+U47-T47-V47+X47-W47-Y47)</f>
        <v>44</v>
      </c>
      <c r="AA47" s="297"/>
      <c r="AB47" s="55"/>
      <c r="AC47" s="17"/>
      <c r="AD47" s="875" t="s">
        <v>55</v>
      </c>
      <c r="AE47" s="910">
        <f t="shared" si="2"/>
        <v>193</v>
      </c>
      <c r="AF47" s="17"/>
      <c r="AG47" s="17"/>
    </row>
    <row r="48" spans="2:33">
      <c r="B48" s="50"/>
      <c r="C48" s="2007"/>
      <c r="D48" s="491" t="s">
        <v>35</v>
      </c>
      <c r="E48" s="424"/>
      <c r="F48" s="198"/>
      <c r="G48" s="431"/>
      <c r="H48" s="635">
        <v>6</v>
      </c>
      <c r="I48" s="636">
        <v>16</v>
      </c>
      <c r="J48" s="651">
        <v>1</v>
      </c>
      <c r="K48" s="424"/>
      <c r="L48" s="198"/>
      <c r="M48" s="431"/>
      <c r="N48" s="186">
        <v>11.5</v>
      </c>
      <c r="O48" s="187">
        <v>20.5</v>
      </c>
      <c r="P48" s="188">
        <v>1</v>
      </c>
      <c r="Q48" s="186">
        <v>10.5</v>
      </c>
      <c r="R48" s="187">
        <v>20.5</v>
      </c>
      <c r="S48" s="188">
        <v>1</v>
      </c>
      <c r="T48" s="186">
        <v>10.5</v>
      </c>
      <c r="U48" s="187">
        <v>20.5</v>
      </c>
      <c r="V48" s="188">
        <v>1</v>
      </c>
      <c r="W48" s="79">
        <v>10</v>
      </c>
      <c r="X48" s="80">
        <v>20</v>
      </c>
      <c r="Y48" s="247">
        <v>1</v>
      </c>
      <c r="Z48" s="362">
        <f t="shared" si="3"/>
        <v>44</v>
      </c>
      <c r="AA48" s="297"/>
      <c r="AB48" s="55"/>
      <c r="AC48" s="17"/>
      <c r="AD48" s="875" t="s">
        <v>35</v>
      </c>
      <c r="AE48" s="910">
        <f t="shared" si="2"/>
        <v>167</v>
      </c>
      <c r="AF48" s="17"/>
      <c r="AG48" s="17"/>
    </row>
    <row r="49" spans="2:34">
      <c r="B49" s="50"/>
      <c r="C49" s="2007"/>
      <c r="D49" s="491" t="s">
        <v>87</v>
      </c>
      <c r="E49" s="635">
        <v>7</v>
      </c>
      <c r="F49" s="636">
        <v>17</v>
      </c>
      <c r="G49" s="651">
        <v>1</v>
      </c>
      <c r="H49" s="186">
        <v>10.5</v>
      </c>
      <c r="I49" s="187">
        <v>20.5</v>
      </c>
      <c r="J49" s="188">
        <v>1</v>
      </c>
      <c r="K49" s="186">
        <v>10.5</v>
      </c>
      <c r="L49" s="187">
        <v>20.5</v>
      </c>
      <c r="M49" s="188">
        <v>1</v>
      </c>
      <c r="N49" s="424"/>
      <c r="O49" s="198"/>
      <c r="P49" s="431"/>
      <c r="Q49" s="635">
        <v>7</v>
      </c>
      <c r="R49" s="636">
        <v>16</v>
      </c>
      <c r="S49" s="651">
        <v>1</v>
      </c>
      <c r="T49" s="186">
        <v>10.5</v>
      </c>
      <c r="U49" s="187">
        <v>20.5</v>
      </c>
      <c r="V49" s="188">
        <v>1</v>
      </c>
      <c r="W49" s="173"/>
      <c r="X49" s="174"/>
      <c r="Y49" s="360"/>
      <c r="Z49" s="362">
        <f t="shared" si="3"/>
        <v>44</v>
      </c>
      <c r="AA49" s="297"/>
      <c r="AB49" s="55"/>
      <c r="AC49" s="17"/>
      <c r="AD49" s="875" t="s">
        <v>87</v>
      </c>
      <c r="AE49" s="910">
        <f t="shared" si="2"/>
        <v>122</v>
      </c>
      <c r="AF49" s="17"/>
      <c r="AG49" s="17"/>
    </row>
    <row r="50" spans="2:34">
      <c r="B50" s="50"/>
      <c r="C50" s="2007"/>
      <c r="D50" s="492" t="s">
        <v>104</v>
      </c>
      <c r="E50" s="407">
        <v>10.5</v>
      </c>
      <c r="F50" s="196">
        <v>20.5</v>
      </c>
      <c r="G50" s="408">
        <v>1</v>
      </c>
      <c r="H50" s="407">
        <v>10.5</v>
      </c>
      <c r="I50" s="196">
        <v>20.5</v>
      </c>
      <c r="J50" s="408">
        <v>1</v>
      </c>
      <c r="K50" s="407">
        <v>11.5</v>
      </c>
      <c r="L50" s="196">
        <v>20.5</v>
      </c>
      <c r="M50" s="408">
        <v>1</v>
      </c>
      <c r="N50" s="193"/>
      <c r="O50" s="194"/>
      <c r="P50" s="195"/>
      <c r="Q50" s="193"/>
      <c r="R50" s="194"/>
      <c r="S50" s="195"/>
      <c r="T50" s="407">
        <v>10.5</v>
      </c>
      <c r="U50" s="196">
        <v>20.5</v>
      </c>
      <c r="V50" s="408">
        <v>1</v>
      </c>
      <c r="W50" s="856">
        <v>8</v>
      </c>
      <c r="X50" s="857">
        <v>18</v>
      </c>
      <c r="Y50" s="858">
        <v>1</v>
      </c>
      <c r="Z50" s="364">
        <f t="shared" si="3"/>
        <v>44</v>
      </c>
      <c r="AA50" s="525"/>
      <c r="AB50" s="56"/>
      <c r="AC50" s="17"/>
      <c r="AD50" s="876" t="s">
        <v>104</v>
      </c>
      <c r="AE50" s="910">
        <f t="shared" si="2"/>
        <v>190</v>
      </c>
      <c r="AF50" s="23"/>
      <c r="AG50" s="17"/>
      <c r="AH50" s="50"/>
    </row>
    <row r="51" spans="2:34">
      <c r="B51" s="50"/>
      <c r="C51" s="1830" t="s">
        <v>116</v>
      </c>
      <c r="D51" s="694" t="s">
        <v>32</v>
      </c>
      <c r="E51" s="632">
        <v>7</v>
      </c>
      <c r="F51" s="633">
        <v>12</v>
      </c>
      <c r="G51" s="862"/>
      <c r="H51" s="586"/>
      <c r="I51" s="570"/>
      <c r="J51" s="592"/>
      <c r="K51" s="586"/>
      <c r="L51" s="570"/>
      <c r="M51" s="592"/>
      <c r="N51" s="292">
        <v>12.5</v>
      </c>
      <c r="O51" s="293">
        <v>20.5</v>
      </c>
      <c r="P51" s="294">
        <v>1</v>
      </c>
      <c r="Q51" s="292">
        <v>16.5</v>
      </c>
      <c r="R51" s="293">
        <v>20.5</v>
      </c>
      <c r="S51" s="294"/>
      <c r="T51" s="292">
        <v>12.5</v>
      </c>
      <c r="U51" s="293">
        <v>20.5</v>
      </c>
      <c r="V51" s="294">
        <v>1</v>
      </c>
      <c r="W51" s="244">
        <v>11</v>
      </c>
      <c r="X51" s="237">
        <v>20</v>
      </c>
      <c r="Y51" s="245">
        <v>1</v>
      </c>
      <c r="Z51" s="2">
        <f t="shared" si="3"/>
        <v>31</v>
      </c>
      <c r="AA51" s="441"/>
      <c r="AB51" s="368"/>
      <c r="AC51" s="17"/>
      <c r="AD51" s="993" t="s">
        <v>32</v>
      </c>
      <c r="AE51" s="910">
        <f t="shared" si="2"/>
        <v>114</v>
      </c>
      <c r="AF51" s="2">
        <v>120</v>
      </c>
      <c r="AG51" s="871">
        <f t="shared" ref="AG51:AG55" si="4">AF51-AE51</f>
        <v>6</v>
      </c>
      <c r="AH51" s="50"/>
    </row>
    <row r="52" spans="2:34" ht="15" customHeight="1">
      <c r="B52" s="50"/>
      <c r="C52" s="1831"/>
      <c r="D52" s="695" t="s">
        <v>114</v>
      </c>
      <c r="E52" s="424"/>
      <c r="F52" s="198"/>
      <c r="G52" s="431"/>
      <c r="H52" s="635">
        <v>6</v>
      </c>
      <c r="I52" s="636">
        <v>12</v>
      </c>
      <c r="J52" s="651"/>
      <c r="K52" s="186">
        <v>15.5</v>
      </c>
      <c r="L52" s="187">
        <v>20.5</v>
      </c>
      <c r="M52" s="188"/>
      <c r="N52" s="424"/>
      <c r="O52" s="198"/>
      <c r="P52" s="431"/>
      <c r="Q52" s="424"/>
      <c r="R52" s="198"/>
      <c r="S52" s="431"/>
      <c r="T52" s="635">
        <v>7</v>
      </c>
      <c r="U52" s="636">
        <v>15</v>
      </c>
      <c r="V52" s="651">
        <v>1</v>
      </c>
      <c r="W52" s="853">
        <v>8</v>
      </c>
      <c r="X52" s="854">
        <v>17</v>
      </c>
      <c r="Y52" s="855">
        <v>1</v>
      </c>
      <c r="Z52" s="297">
        <f t="shared" si="3"/>
        <v>26</v>
      </c>
      <c r="AA52" s="457"/>
      <c r="AB52" s="6"/>
      <c r="AC52" s="17"/>
      <c r="AD52" s="957" t="s">
        <v>114</v>
      </c>
      <c r="AE52" s="910">
        <f t="shared" si="2"/>
        <v>126</v>
      </c>
      <c r="AF52" s="2">
        <v>120</v>
      </c>
      <c r="AG52" s="871">
        <f t="shared" si="4"/>
        <v>-6</v>
      </c>
      <c r="AH52" s="50"/>
    </row>
    <row r="53" spans="2:34">
      <c r="B53" s="50"/>
      <c r="C53" s="1831"/>
      <c r="D53" s="695" t="s">
        <v>89</v>
      </c>
      <c r="E53" s="795">
        <v>17</v>
      </c>
      <c r="F53" s="796">
        <v>23</v>
      </c>
      <c r="G53" s="797"/>
      <c r="H53" s="424"/>
      <c r="I53" s="198"/>
      <c r="J53" s="431"/>
      <c r="K53" s="635">
        <v>6</v>
      </c>
      <c r="L53" s="636">
        <v>12</v>
      </c>
      <c r="M53" s="651"/>
      <c r="N53" s="186">
        <v>12.5</v>
      </c>
      <c r="O53" s="187">
        <v>20.5</v>
      </c>
      <c r="P53" s="188">
        <v>1</v>
      </c>
      <c r="Q53" s="186">
        <v>16.5</v>
      </c>
      <c r="R53" s="187">
        <v>20.5</v>
      </c>
      <c r="S53" s="188"/>
      <c r="T53" s="186">
        <v>15.5</v>
      </c>
      <c r="U53" s="187">
        <v>20.5</v>
      </c>
      <c r="V53" s="188"/>
      <c r="W53" s="79">
        <v>12</v>
      </c>
      <c r="X53" s="80">
        <v>20</v>
      </c>
      <c r="Y53" s="247">
        <v>1</v>
      </c>
      <c r="Z53" s="297">
        <f t="shared" si="3"/>
        <v>35</v>
      </c>
      <c r="AA53" s="457"/>
      <c r="AB53" s="6"/>
      <c r="AC53" s="17"/>
      <c r="AD53" s="957" t="s">
        <v>89</v>
      </c>
      <c r="AE53" s="910">
        <f t="shared" si="2"/>
        <v>117</v>
      </c>
      <c r="AF53" s="299">
        <v>120</v>
      </c>
      <c r="AG53" s="871">
        <f t="shared" si="4"/>
        <v>3</v>
      </c>
      <c r="AH53" s="50"/>
    </row>
    <row r="54" spans="2:34">
      <c r="B54" s="50"/>
      <c r="C54" s="1831"/>
      <c r="D54" s="695" t="s">
        <v>38</v>
      </c>
      <c r="E54" s="424"/>
      <c r="F54" s="198"/>
      <c r="G54" s="431"/>
      <c r="H54" s="424"/>
      <c r="I54" s="198"/>
      <c r="J54" s="431"/>
      <c r="K54" s="186">
        <v>16.5</v>
      </c>
      <c r="L54" s="187">
        <v>20.5</v>
      </c>
      <c r="M54" s="188"/>
      <c r="N54" s="635">
        <v>7</v>
      </c>
      <c r="O54" s="636">
        <v>12</v>
      </c>
      <c r="P54" s="651"/>
      <c r="Q54" s="186">
        <v>16.5</v>
      </c>
      <c r="R54" s="187">
        <v>20.5</v>
      </c>
      <c r="S54" s="188"/>
      <c r="T54" s="1020">
        <v>16</v>
      </c>
      <c r="U54" s="1021">
        <v>20</v>
      </c>
      <c r="V54" s="1022"/>
      <c r="W54" s="1023">
        <v>16</v>
      </c>
      <c r="X54" s="1024">
        <v>20</v>
      </c>
      <c r="Y54" s="1025"/>
      <c r="Z54" s="297">
        <f t="shared" si="3"/>
        <v>21</v>
      </c>
      <c r="AA54" s="457"/>
      <c r="AB54" s="6"/>
      <c r="AC54" s="17"/>
      <c r="AD54" s="957" t="s">
        <v>38</v>
      </c>
      <c r="AE54" s="910">
        <f t="shared" si="2"/>
        <v>103</v>
      </c>
      <c r="AF54" s="297">
        <v>120</v>
      </c>
      <c r="AG54" s="871">
        <f t="shared" si="4"/>
        <v>17</v>
      </c>
      <c r="AH54" s="50"/>
    </row>
    <row r="55" spans="2:34">
      <c r="B55" s="50"/>
      <c r="C55" s="1831"/>
      <c r="D55" s="695" t="s">
        <v>56</v>
      </c>
      <c r="E55" s="186">
        <v>16.5</v>
      </c>
      <c r="F55" s="187">
        <v>20.5</v>
      </c>
      <c r="G55" s="188"/>
      <c r="H55" s="424"/>
      <c r="I55" s="198"/>
      <c r="J55" s="431"/>
      <c r="K55" s="186">
        <v>16.5</v>
      </c>
      <c r="L55" s="187">
        <v>20.5</v>
      </c>
      <c r="M55" s="188"/>
      <c r="N55" s="635">
        <v>7</v>
      </c>
      <c r="O55" s="636">
        <v>12</v>
      </c>
      <c r="P55" s="651"/>
      <c r="Q55" s="424"/>
      <c r="R55" s="198"/>
      <c r="S55" s="431"/>
      <c r="T55" s="850">
        <v>13.5</v>
      </c>
      <c r="U55" s="851">
        <v>20.5</v>
      </c>
      <c r="V55" s="1019">
        <v>1</v>
      </c>
      <c r="W55" s="752">
        <v>12</v>
      </c>
      <c r="X55" s="753">
        <v>20</v>
      </c>
      <c r="Y55" s="754">
        <v>1</v>
      </c>
      <c r="Z55" s="297">
        <f t="shared" si="3"/>
        <v>26</v>
      </c>
      <c r="AA55" s="457"/>
      <c r="AB55" s="6"/>
      <c r="AC55" s="17"/>
      <c r="AD55" s="957" t="s">
        <v>56</v>
      </c>
      <c r="AE55" s="910">
        <f t="shared" si="2"/>
        <v>83</v>
      </c>
      <c r="AF55" s="297">
        <v>120</v>
      </c>
      <c r="AG55" s="871">
        <f t="shared" si="4"/>
        <v>37</v>
      </c>
      <c r="AH55" s="50"/>
    </row>
    <row r="56" spans="2:34">
      <c r="B56" s="50"/>
      <c r="C56" s="1831"/>
      <c r="D56" s="695" t="s">
        <v>36</v>
      </c>
      <c r="E56" s="424"/>
      <c r="F56" s="198"/>
      <c r="G56" s="431"/>
      <c r="H56" s="186">
        <v>16.5</v>
      </c>
      <c r="I56" s="187">
        <v>20.5</v>
      </c>
      <c r="J56" s="188"/>
      <c r="K56" s="186">
        <v>16.5</v>
      </c>
      <c r="L56" s="187">
        <v>20.5</v>
      </c>
      <c r="M56" s="188"/>
      <c r="N56" s="73">
        <v>12.5</v>
      </c>
      <c r="O56" s="74">
        <v>20.5</v>
      </c>
      <c r="P56" s="75">
        <v>1</v>
      </c>
      <c r="Q56" s="262"/>
      <c r="R56" s="171"/>
      <c r="S56" s="172"/>
      <c r="T56" s="635">
        <v>7</v>
      </c>
      <c r="U56" s="636">
        <v>15</v>
      </c>
      <c r="V56" s="651">
        <v>1</v>
      </c>
      <c r="W56" s="79">
        <v>13</v>
      </c>
      <c r="X56" s="80">
        <v>20</v>
      </c>
      <c r="Y56" s="247">
        <v>1</v>
      </c>
      <c r="Z56" s="297">
        <f t="shared" si="3"/>
        <v>28</v>
      </c>
      <c r="AA56" s="457"/>
      <c r="AB56" s="6"/>
      <c r="AC56" s="17"/>
      <c r="AD56" s="957" t="s">
        <v>36</v>
      </c>
      <c r="AE56" s="910">
        <f t="shared" si="2"/>
        <v>113</v>
      </c>
      <c r="AF56" s="297">
        <v>120</v>
      </c>
      <c r="AG56" s="871">
        <f t="shared" ref="AG56:AG58" si="5">AF56-AE56</f>
        <v>7</v>
      </c>
      <c r="AH56" s="50"/>
    </row>
    <row r="57" spans="2:34">
      <c r="B57" s="50"/>
      <c r="C57" s="1831"/>
      <c r="D57" s="695" t="s">
        <v>34</v>
      </c>
      <c r="E57" s="424"/>
      <c r="F57" s="198"/>
      <c r="G57" s="431"/>
      <c r="H57" s="635">
        <v>6</v>
      </c>
      <c r="I57" s="636">
        <v>15</v>
      </c>
      <c r="J57" s="651">
        <v>1</v>
      </c>
      <c r="K57" s="424"/>
      <c r="L57" s="198"/>
      <c r="M57" s="431"/>
      <c r="N57" s="186">
        <v>12.5</v>
      </c>
      <c r="O57" s="187">
        <v>20.5</v>
      </c>
      <c r="P57" s="188">
        <v>1</v>
      </c>
      <c r="Q57" s="635">
        <v>7</v>
      </c>
      <c r="R57" s="636">
        <v>12</v>
      </c>
      <c r="S57" s="651"/>
      <c r="T57" s="186">
        <v>14.5</v>
      </c>
      <c r="U57" s="187">
        <v>20.5</v>
      </c>
      <c r="V57" s="188">
        <v>1</v>
      </c>
      <c r="W57" s="853">
        <v>8</v>
      </c>
      <c r="X57" s="854">
        <v>17</v>
      </c>
      <c r="Y57" s="855">
        <v>1</v>
      </c>
      <c r="Z57" s="297">
        <f t="shared" si="3"/>
        <v>33</v>
      </c>
      <c r="AA57" s="457"/>
      <c r="AB57" s="6"/>
      <c r="AC57" s="17"/>
      <c r="AD57" s="957" t="s">
        <v>34</v>
      </c>
      <c r="AE57" s="910" t="e">
        <f>Z27+Z57+Z87+#REF!+Z145</f>
        <v>#REF!</v>
      </c>
      <c r="AF57" s="298">
        <v>120</v>
      </c>
      <c r="AG57" s="269" t="e">
        <f t="shared" si="5"/>
        <v>#REF!</v>
      </c>
      <c r="AH57" s="50"/>
    </row>
    <row r="58" spans="2:34">
      <c r="B58" s="50"/>
      <c r="C58" s="1832"/>
      <c r="D58" s="561" t="s">
        <v>117</v>
      </c>
      <c r="E58" s="606">
        <v>16.5</v>
      </c>
      <c r="F58" s="607">
        <v>20.5</v>
      </c>
      <c r="G58" s="905"/>
      <c r="H58" s="606">
        <v>16.5</v>
      </c>
      <c r="I58" s="607">
        <v>20.5</v>
      </c>
      <c r="J58" s="905"/>
      <c r="K58" s="936"/>
      <c r="L58" s="937"/>
      <c r="M58" s="938"/>
      <c r="N58" s="936"/>
      <c r="O58" s="937"/>
      <c r="P58" s="938"/>
      <c r="Q58" s="606">
        <v>12.5</v>
      </c>
      <c r="R58" s="607">
        <v>20.5</v>
      </c>
      <c r="S58" s="905">
        <v>1</v>
      </c>
      <c r="T58" s="606">
        <v>13.5</v>
      </c>
      <c r="U58" s="607">
        <v>20.5</v>
      </c>
      <c r="V58" s="905">
        <v>1</v>
      </c>
      <c r="W58" s="91">
        <v>12</v>
      </c>
      <c r="X58" s="92">
        <v>20</v>
      </c>
      <c r="Y58" s="118">
        <v>1</v>
      </c>
      <c r="Z58" s="298">
        <f t="shared" si="3"/>
        <v>28</v>
      </c>
      <c r="AA58" s="500"/>
      <c r="AB58" s="369"/>
      <c r="AC58" s="17"/>
      <c r="AD58" s="958" t="s">
        <v>117</v>
      </c>
      <c r="AE58" s="910">
        <f>Z28+Z58+Z88+Z115+Z146</f>
        <v>116</v>
      </c>
      <c r="AF58" s="298">
        <v>120</v>
      </c>
      <c r="AG58" s="269">
        <f t="shared" si="5"/>
        <v>4</v>
      </c>
      <c r="AH58" s="50"/>
    </row>
    <row r="59" spans="2:34">
      <c r="B59" s="50"/>
      <c r="C59" s="32"/>
      <c r="D59" s="295"/>
      <c r="E59" s="1828">
        <f>COUNT(E37:E58)</f>
        <v>13</v>
      </c>
      <c r="F59" s="1829"/>
      <c r="G59" s="1829"/>
      <c r="H59" s="1828">
        <f>COUNT(H37:H58)</f>
        <v>14</v>
      </c>
      <c r="I59" s="1829"/>
      <c r="J59" s="1829"/>
      <c r="K59" s="1828">
        <f t="shared" ref="K59" si="6">COUNT(K37:K58)</f>
        <v>13</v>
      </c>
      <c r="L59" s="1829"/>
      <c r="M59" s="1829"/>
      <c r="N59" s="1828">
        <f t="shared" ref="N59" si="7">COUNT(N37:N58)</f>
        <v>14</v>
      </c>
      <c r="O59" s="1829"/>
      <c r="P59" s="1829"/>
      <c r="Q59" s="1828">
        <f t="shared" ref="Q59" si="8">COUNT(Q37:Q58)</f>
        <v>14</v>
      </c>
      <c r="R59" s="1829"/>
      <c r="S59" s="1829"/>
      <c r="T59" s="1828">
        <f t="shared" ref="T59" si="9">COUNT(T37:T58)</f>
        <v>19</v>
      </c>
      <c r="U59" s="1829"/>
      <c r="V59" s="1829"/>
      <c r="W59" s="1836">
        <f t="shared" ref="W59" si="10">COUNT(W37:W58)</f>
        <v>13</v>
      </c>
      <c r="X59" s="1837"/>
      <c r="Y59" s="1838"/>
      <c r="Z59" s="23"/>
      <c r="AA59" s="23"/>
      <c r="AB59" s="17"/>
      <c r="AC59" s="17"/>
      <c r="AD59" s="17"/>
      <c r="AE59" s="712"/>
      <c r="AF59" s="23"/>
      <c r="AG59" s="17"/>
    </row>
    <row r="60" spans="2:34">
      <c r="B60" s="50"/>
      <c r="C60" s="32"/>
      <c r="D60" s="17"/>
      <c r="E60" s="182"/>
      <c r="F60" s="182"/>
      <c r="G60" s="182"/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182"/>
      <c r="S60" s="182"/>
      <c r="T60" s="182"/>
      <c r="U60" s="182"/>
      <c r="V60" s="182"/>
      <c r="W60" s="182"/>
      <c r="X60" s="182"/>
      <c r="Y60" s="182"/>
      <c r="Z60" s="23"/>
      <c r="AA60" s="23"/>
      <c r="AB60" s="17"/>
      <c r="AC60" s="17"/>
      <c r="AD60" s="17"/>
      <c r="AE60" s="23"/>
      <c r="AF60" s="23"/>
      <c r="AG60" s="17"/>
    </row>
    <row r="61" spans="2:34"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AC61" s="17"/>
      <c r="AD61" s="17"/>
      <c r="AE61" s="17"/>
      <c r="AF61" s="17"/>
      <c r="AG61" s="17"/>
    </row>
    <row r="62" spans="2:34" ht="15" customHeight="1">
      <c r="E62" s="50"/>
      <c r="F62" s="50"/>
      <c r="G62" s="50"/>
      <c r="H62" s="2018" t="s">
        <v>132</v>
      </c>
      <c r="I62" s="2019"/>
      <c r="J62" s="2019"/>
      <c r="K62" s="2020"/>
      <c r="L62" s="2020"/>
      <c r="M62" s="2020"/>
      <c r="N62" s="2020"/>
      <c r="O62" s="2020"/>
      <c r="P62" s="2021"/>
      <c r="Q62" s="50"/>
      <c r="R62" s="50"/>
      <c r="S62" s="50"/>
      <c r="T62" s="50"/>
      <c r="U62" s="50"/>
      <c r="V62" s="50"/>
      <c r="W62" s="50"/>
      <c r="X62" s="50"/>
      <c r="Y62" s="50"/>
      <c r="AC62" s="17"/>
      <c r="AD62" s="17"/>
      <c r="AE62" s="17"/>
      <c r="AF62" s="17"/>
      <c r="AG62" s="17"/>
    </row>
    <row r="63" spans="2:34" ht="15" customHeight="1">
      <c r="C63" s="1817" t="s">
        <v>119</v>
      </c>
      <c r="D63" s="1817"/>
      <c r="E63" s="2008" t="s">
        <v>133</v>
      </c>
      <c r="F63" s="2009"/>
      <c r="G63" s="2010"/>
      <c r="H63" s="2014"/>
      <c r="I63" s="2014"/>
      <c r="J63" s="2014"/>
      <c r="K63" s="2022" t="s">
        <v>134</v>
      </c>
      <c r="L63" s="2023"/>
      <c r="M63" s="2023"/>
      <c r="N63" s="2026" t="s">
        <v>94</v>
      </c>
      <c r="O63" s="2027"/>
      <c r="P63" s="2028"/>
      <c r="Q63" s="1875"/>
      <c r="R63" s="1875"/>
      <c r="S63" s="1875"/>
      <c r="T63" s="1874"/>
      <c r="U63" s="1875"/>
      <c r="V63" s="1875"/>
      <c r="W63" s="1874"/>
      <c r="X63" s="1875"/>
      <c r="Y63" s="1876"/>
      <c r="Z63" s="50"/>
      <c r="AB63" s="47"/>
      <c r="AC63" s="17"/>
      <c r="AD63" s="17"/>
      <c r="AE63" s="17"/>
      <c r="AF63" s="17"/>
      <c r="AG63" s="17"/>
    </row>
    <row r="64" spans="2:34" ht="15" customHeight="1">
      <c r="C64" s="1817"/>
      <c r="D64" s="1817"/>
      <c r="E64" s="2011"/>
      <c r="F64" s="2012"/>
      <c r="G64" s="2013"/>
      <c r="H64" s="2014"/>
      <c r="I64" s="2014"/>
      <c r="J64" s="2014"/>
      <c r="K64" s="2024"/>
      <c r="L64" s="2025"/>
      <c r="M64" s="2025"/>
      <c r="N64" s="2029"/>
      <c r="O64" s="2030"/>
      <c r="P64" s="2031"/>
      <c r="Q64" s="2015"/>
      <c r="R64" s="2015"/>
      <c r="S64" s="2015"/>
      <c r="T64" s="2016"/>
      <c r="U64" s="2015"/>
      <c r="V64" s="2015"/>
      <c r="W64" s="2016"/>
      <c r="X64" s="2015"/>
      <c r="Y64" s="2017"/>
      <c r="Z64" s="50"/>
      <c r="AB64" s="47"/>
      <c r="AC64" s="17"/>
      <c r="AD64" s="17"/>
      <c r="AE64" s="17"/>
      <c r="AF64" s="17"/>
      <c r="AG64" s="17"/>
    </row>
    <row r="65" spans="2:33" ht="14.4">
      <c r="C65" s="1818"/>
      <c r="D65" s="1818"/>
      <c r="E65" s="2011"/>
      <c r="F65" s="2012"/>
      <c r="G65" s="2013"/>
      <c r="H65" s="2014"/>
      <c r="I65" s="2014"/>
      <c r="J65" s="2014"/>
      <c r="K65" s="2032" t="s">
        <v>135</v>
      </c>
      <c r="L65" s="2033"/>
      <c r="M65" s="2033"/>
      <c r="N65" s="2033"/>
      <c r="O65" s="2033"/>
      <c r="P65" s="2034"/>
      <c r="Q65" s="2015"/>
      <c r="R65" s="2015"/>
      <c r="S65" s="2015"/>
      <c r="T65" s="2016"/>
      <c r="U65" s="2015"/>
      <c r="V65" s="2015"/>
      <c r="W65" s="2016"/>
      <c r="X65" s="2015"/>
      <c r="Y65" s="2017"/>
      <c r="Z65" s="17"/>
      <c r="AA65" s="17"/>
      <c r="AB65" s="17"/>
      <c r="AC65" s="17"/>
      <c r="AD65" s="17"/>
      <c r="AE65" s="17"/>
      <c r="AF65" s="17"/>
      <c r="AG65" s="17"/>
    </row>
    <row r="66" spans="2:33">
      <c r="C66" s="19" t="s">
        <v>1</v>
      </c>
      <c r="D66" s="19" t="s">
        <v>2</v>
      </c>
      <c r="E66" s="1867" t="s">
        <v>136</v>
      </c>
      <c r="F66" s="1868"/>
      <c r="G66" s="2048"/>
      <c r="H66" s="1881" t="s">
        <v>137</v>
      </c>
      <c r="I66" s="1881"/>
      <c r="J66" s="1881"/>
      <c r="K66" s="1913" t="s">
        <v>138</v>
      </c>
      <c r="L66" s="1950"/>
      <c r="M66" s="2037"/>
      <c r="N66" s="1932" t="s">
        <v>139</v>
      </c>
      <c r="O66" s="1932"/>
      <c r="P66" s="1932"/>
      <c r="Q66" s="1880" t="s">
        <v>140</v>
      </c>
      <c r="R66" s="1881"/>
      <c r="S66" s="1881"/>
      <c r="T66" s="1880" t="s">
        <v>141</v>
      </c>
      <c r="U66" s="1881"/>
      <c r="V66" s="1881"/>
      <c r="W66" s="1951" t="s">
        <v>142</v>
      </c>
      <c r="X66" s="1854"/>
      <c r="Y66" s="2038"/>
      <c r="Z66" s="21" t="s">
        <v>5</v>
      </c>
      <c r="AA66" s="18" t="s">
        <v>6</v>
      </c>
      <c r="AB66" s="20" t="s">
        <v>7</v>
      </c>
      <c r="AC66" s="17"/>
      <c r="AD66" s="17"/>
      <c r="AE66" s="17"/>
      <c r="AF66" s="17"/>
      <c r="AG66" s="17"/>
    </row>
    <row r="67" spans="2:33">
      <c r="B67" s="50"/>
      <c r="C67" s="924" t="s">
        <v>8</v>
      </c>
      <c r="D67" s="925" t="s">
        <v>9</v>
      </c>
      <c r="E67" s="460">
        <v>10</v>
      </c>
      <c r="F67" s="461">
        <v>20</v>
      </c>
      <c r="G67" s="913">
        <v>1</v>
      </c>
      <c r="H67" s="583">
        <v>10.5</v>
      </c>
      <c r="I67" s="571">
        <v>20.5</v>
      </c>
      <c r="J67" s="587">
        <v>1</v>
      </c>
      <c r="K67" s="907">
        <v>10.5</v>
      </c>
      <c r="L67" s="571">
        <v>20.5</v>
      </c>
      <c r="M67" s="944">
        <v>1</v>
      </c>
      <c r="N67" s="1026">
        <v>6</v>
      </c>
      <c r="O67" s="649">
        <v>16</v>
      </c>
      <c r="P67" s="650">
        <v>1</v>
      </c>
      <c r="Q67" s="907">
        <v>11.5</v>
      </c>
      <c r="R67" s="571">
        <v>20.5</v>
      </c>
      <c r="S67" s="587">
        <v>1</v>
      </c>
      <c r="T67" s="590"/>
      <c r="U67" s="572"/>
      <c r="V67" s="914"/>
      <c r="W67" s="908"/>
      <c r="X67" s="573"/>
      <c r="Y67" s="912"/>
      <c r="Z67" s="21">
        <f t="shared" ref="Z67:Z76" si="11">SUM(F67-E67-G67+I67-H67-J67+L67-K67-M67+O67-N67-P67+R67-Q67-S67+U67-T67-V67+X67-W67-Y67)</f>
        <v>44</v>
      </c>
      <c r="AA67" s="18"/>
      <c r="AB67" s="826"/>
      <c r="AC67" s="17"/>
      <c r="AD67" s="17"/>
      <c r="AE67" s="17"/>
      <c r="AF67" s="17"/>
      <c r="AG67" s="17"/>
    </row>
    <row r="68" spans="2:33" ht="15">
      <c r="C68" s="2004" t="s">
        <v>11</v>
      </c>
      <c r="D68" s="204" t="s">
        <v>51</v>
      </c>
      <c r="E68" s="244">
        <v>10</v>
      </c>
      <c r="F68" s="237">
        <v>20</v>
      </c>
      <c r="G68" s="546">
        <v>1</v>
      </c>
      <c r="H68" s="589"/>
      <c r="I68" s="570"/>
      <c r="J68" s="592"/>
      <c r="K68" s="953">
        <v>10.5</v>
      </c>
      <c r="L68" s="954">
        <v>20.5</v>
      </c>
      <c r="M68" s="955">
        <v>1</v>
      </c>
      <c r="N68" s="1018">
        <v>12</v>
      </c>
      <c r="O68" s="933">
        <v>21</v>
      </c>
      <c r="P68" s="935">
        <v>1</v>
      </c>
      <c r="Q68" s="632">
        <v>6</v>
      </c>
      <c r="R68" s="633">
        <v>16</v>
      </c>
      <c r="S68" s="862">
        <v>1</v>
      </c>
      <c r="T68" s="292">
        <v>10.5</v>
      </c>
      <c r="U68" s="293">
        <v>20.5</v>
      </c>
      <c r="V68" s="294">
        <v>1</v>
      </c>
      <c r="W68" s="682"/>
      <c r="X68" s="683"/>
      <c r="Y68" s="911"/>
      <c r="Z68" s="441">
        <f t="shared" si="11"/>
        <v>44</v>
      </c>
      <c r="AA68" s="2"/>
      <c r="AB68" s="268"/>
      <c r="AC68" s="17"/>
      <c r="AD68" s="859"/>
      <c r="AE68" s="17"/>
      <c r="AF68" s="17"/>
      <c r="AG68" s="17"/>
    </row>
    <row r="69" spans="2:33">
      <c r="C69" s="2005"/>
      <c r="D69" s="205" t="s">
        <v>14</v>
      </c>
      <c r="E69" s="211"/>
      <c r="F69" s="212"/>
      <c r="G69" s="307"/>
      <c r="H69" s="946">
        <v>10.5</v>
      </c>
      <c r="I69" s="947">
        <v>20.5</v>
      </c>
      <c r="J69" s="948">
        <v>1</v>
      </c>
      <c r="K69" s="939">
        <v>6</v>
      </c>
      <c r="L69" s="940">
        <v>16</v>
      </c>
      <c r="M69" s="941">
        <v>1</v>
      </c>
      <c r="N69" s="605"/>
      <c r="O69" s="194"/>
      <c r="P69" s="195"/>
      <c r="Q69" s="407">
        <v>10.5</v>
      </c>
      <c r="R69" s="196">
        <v>20.5</v>
      </c>
      <c r="S69" s="408">
        <v>1</v>
      </c>
      <c r="T69" s="407">
        <v>11.5</v>
      </c>
      <c r="U69" s="196">
        <v>20.5</v>
      </c>
      <c r="V69" s="408">
        <v>1</v>
      </c>
      <c r="W69" s="91">
        <v>10</v>
      </c>
      <c r="X69" s="92">
        <v>20</v>
      </c>
      <c r="Y69" s="547">
        <v>1</v>
      </c>
      <c r="Z69" s="458">
        <f t="shared" si="11"/>
        <v>44</v>
      </c>
      <c r="AA69" s="525"/>
      <c r="AB69" s="56"/>
      <c r="AC69" s="17"/>
      <c r="AD69" s="17"/>
      <c r="AE69" s="17"/>
      <c r="AF69" s="17"/>
      <c r="AG69" s="17"/>
    </row>
    <row r="70" spans="2:33">
      <c r="C70" s="1952" t="s">
        <v>52</v>
      </c>
      <c r="D70" s="929" t="s">
        <v>19</v>
      </c>
      <c r="E70" s="244">
        <v>10</v>
      </c>
      <c r="F70" s="237">
        <v>20</v>
      </c>
      <c r="G70" s="546">
        <v>1</v>
      </c>
      <c r="H70" s="1010">
        <v>7</v>
      </c>
      <c r="I70" s="633">
        <v>16</v>
      </c>
      <c r="J70" s="862">
        <v>1</v>
      </c>
      <c r="K70" s="586"/>
      <c r="L70" s="570"/>
      <c r="M70" s="890"/>
      <c r="N70" s="542">
        <v>10.5</v>
      </c>
      <c r="O70" s="293">
        <v>20.5</v>
      </c>
      <c r="P70" s="294">
        <v>1</v>
      </c>
      <c r="Q70" s="586"/>
      <c r="R70" s="570"/>
      <c r="S70" s="592"/>
      <c r="T70" s="292">
        <v>10.5</v>
      </c>
      <c r="U70" s="293">
        <v>20.5</v>
      </c>
      <c r="V70" s="294">
        <v>1</v>
      </c>
      <c r="W70" s="244">
        <v>10</v>
      </c>
      <c r="X70" s="237">
        <v>20</v>
      </c>
      <c r="Y70" s="546">
        <v>1</v>
      </c>
      <c r="Z70" s="441">
        <f t="shared" si="11"/>
        <v>44</v>
      </c>
      <c r="AA70" s="2"/>
      <c r="AB70" s="268"/>
      <c r="AC70" s="17"/>
      <c r="AD70" s="17"/>
      <c r="AE70" s="17"/>
      <c r="AF70" s="17"/>
      <c r="AG70" s="17"/>
    </row>
    <row r="71" spans="2:33">
      <c r="C71" s="2006"/>
      <c r="D71" s="930" t="s">
        <v>21</v>
      </c>
      <c r="E71" s="173"/>
      <c r="F71" s="174"/>
      <c r="G71" s="175"/>
      <c r="H71" s="191">
        <v>10.5</v>
      </c>
      <c r="I71" s="187">
        <v>20.5</v>
      </c>
      <c r="J71" s="188">
        <v>1</v>
      </c>
      <c r="K71" s="373">
        <v>21</v>
      </c>
      <c r="L71" s="374">
        <v>6</v>
      </c>
      <c r="M71" s="1009">
        <v>1</v>
      </c>
      <c r="N71" s="425"/>
      <c r="O71" s="198"/>
      <c r="P71" s="431"/>
      <c r="Q71" s="186">
        <v>10.5</v>
      </c>
      <c r="R71" s="187">
        <v>20.5</v>
      </c>
      <c r="S71" s="188">
        <v>1</v>
      </c>
      <c r="T71" s="186">
        <v>10.5</v>
      </c>
      <c r="U71" s="187">
        <v>20.5</v>
      </c>
      <c r="V71" s="188">
        <v>1</v>
      </c>
      <c r="W71" s="79">
        <v>10</v>
      </c>
      <c r="X71" s="80">
        <v>20</v>
      </c>
      <c r="Y71" s="81">
        <v>1</v>
      </c>
      <c r="Z71" s="457">
        <f t="shared" si="11"/>
        <v>20</v>
      </c>
      <c r="AA71" s="297"/>
      <c r="AB71" s="55"/>
      <c r="AC71" s="17"/>
      <c r="AD71" s="17"/>
      <c r="AE71" s="17"/>
      <c r="AF71" s="17"/>
      <c r="AG71" s="17"/>
    </row>
    <row r="72" spans="2:33">
      <c r="C72" s="1953"/>
      <c r="D72" s="931" t="s">
        <v>53</v>
      </c>
      <c r="E72" s="856">
        <v>7</v>
      </c>
      <c r="F72" s="857">
        <v>17</v>
      </c>
      <c r="G72" s="1014">
        <v>1</v>
      </c>
      <c r="H72" s="605"/>
      <c r="I72" s="194"/>
      <c r="J72" s="195"/>
      <c r="K72" s="407">
        <v>11.5</v>
      </c>
      <c r="L72" s="196">
        <v>20.5</v>
      </c>
      <c r="M72" s="310">
        <v>1</v>
      </c>
      <c r="N72" s="309">
        <v>10.5</v>
      </c>
      <c r="O72" s="196">
        <v>20.5</v>
      </c>
      <c r="P72" s="408">
        <v>1</v>
      </c>
      <c r="Q72" s="407">
        <v>10.5</v>
      </c>
      <c r="R72" s="196">
        <v>20.5</v>
      </c>
      <c r="S72" s="408">
        <v>1</v>
      </c>
      <c r="T72" s="939">
        <v>7</v>
      </c>
      <c r="U72" s="940">
        <v>17</v>
      </c>
      <c r="V72" s="974">
        <v>1</v>
      </c>
      <c r="W72" s="211"/>
      <c r="X72" s="212"/>
      <c r="Y72" s="307"/>
      <c r="Z72" s="458">
        <f t="shared" si="11"/>
        <v>44</v>
      </c>
      <c r="AA72" s="525"/>
      <c r="AB72" s="56"/>
      <c r="AC72" s="17"/>
      <c r="AD72" s="17"/>
      <c r="AE72" s="17"/>
      <c r="AF72" s="17"/>
      <c r="AG72" s="17"/>
    </row>
    <row r="73" spans="2:33">
      <c r="B73" s="50"/>
      <c r="C73" s="1831" t="s">
        <v>23</v>
      </c>
      <c r="D73" s="694" t="s">
        <v>25</v>
      </c>
      <c r="E73" s="682"/>
      <c r="F73" s="683"/>
      <c r="G73" s="911"/>
      <c r="H73" s="1010">
        <v>7</v>
      </c>
      <c r="I73" s="633">
        <v>16</v>
      </c>
      <c r="J73" s="862">
        <v>1</v>
      </c>
      <c r="K73" s="586"/>
      <c r="L73" s="570"/>
      <c r="M73" s="890"/>
      <c r="N73" s="542">
        <v>10.5</v>
      </c>
      <c r="O73" s="293">
        <v>20.5</v>
      </c>
      <c r="P73" s="294">
        <v>1</v>
      </c>
      <c r="Q73" s="292">
        <v>10.5</v>
      </c>
      <c r="R73" s="293">
        <v>20.5</v>
      </c>
      <c r="S73" s="294">
        <v>1</v>
      </c>
      <c r="T73" s="292">
        <v>10.5</v>
      </c>
      <c r="U73" s="293">
        <v>20.5</v>
      </c>
      <c r="V73" s="294">
        <v>1</v>
      </c>
      <c r="W73" s="244">
        <v>10</v>
      </c>
      <c r="X73" s="237">
        <v>20</v>
      </c>
      <c r="Y73" s="546">
        <v>1</v>
      </c>
      <c r="Z73" s="861">
        <f t="shared" si="11"/>
        <v>44</v>
      </c>
      <c r="AA73" s="861"/>
      <c r="AB73" s="268"/>
      <c r="AC73" s="17"/>
      <c r="AD73" s="17"/>
      <c r="AE73" s="17"/>
      <c r="AF73" s="17"/>
      <c r="AG73" s="17"/>
    </row>
    <row r="74" spans="2:33">
      <c r="B74" s="50"/>
      <c r="C74" s="1831"/>
      <c r="D74" s="695" t="s">
        <v>27</v>
      </c>
      <c r="E74" s="79">
        <v>10</v>
      </c>
      <c r="F74" s="80">
        <v>20</v>
      </c>
      <c r="G74" s="81">
        <v>1</v>
      </c>
      <c r="H74" s="1006">
        <v>20</v>
      </c>
      <c r="I74" s="374">
        <v>6</v>
      </c>
      <c r="J74" s="375">
        <v>1</v>
      </c>
      <c r="K74" s="373">
        <v>20</v>
      </c>
      <c r="L74" s="1007">
        <v>6</v>
      </c>
      <c r="M74" s="1008">
        <v>1</v>
      </c>
      <c r="N74" s="1006">
        <v>21</v>
      </c>
      <c r="O74" s="374">
        <v>6</v>
      </c>
      <c r="P74" s="375">
        <v>1</v>
      </c>
      <c r="Q74" s="424"/>
      <c r="R74" s="198"/>
      <c r="S74" s="431"/>
      <c r="T74" s="186">
        <v>10.5</v>
      </c>
      <c r="U74" s="187">
        <v>20.5</v>
      </c>
      <c r="V74" s="188">
        <v>1</v>
      </c>
      <c r="W74" s="173"/>
      <c r="X74" s="174"/>
      <c r="Y74" s="175"/>
      <c r="Z74" s="735">
        <f t="shared" si="11"/>
        <v>-28</v>
      </c>
      <c r="AA74" s="735"/>
      <c r="AB74" s="55"/>
      <c r="AC74" s="17"/>
      <c r="AD74" s="17"/>
      <c r="AE74" s="17"/>
      <c r="AF74" s="17"/>
      <c r="AG74" s="17"/>
    </row>
    <row r="75" spans="2:33">
      <c r="B75" s="50"/>
      <c r="C75" s="1831"/>
      <c r="D75" s="695" t="s">
        <v>28</v>
      </c>
      <c r="E75" s="998"/>
      <c r="F75" s="999"/>
      <c r="G75" s="1000"/>
      <c r="H75" s="1001"/>
      <c r="I75" s="1002"/>
      <c r="J75" s="1003"/>
      <c r="K75" s="1004"/>
      <c r="L75" s="1002"/>
      <c r="M75" s="1005"/>
      <c r="N75" s="1001"/>
      <c r="O75" s="1002"/>
      <c r="P75" s="1003"/>
      <c r="Q75" s="1004"/>
      <c r="R75" s="1002"/>
      <c r="S75" s="1003"/>
      <c r="T75" s="1004"/>
      <c r="U75" s="1002"/>
      <c r="V75" s="1003"/>
      <c r="W75" s="998"/>
      <c r="X75" s="999"/>
      <c r="Y75" s="1000"/>
      <c r="Z75" s="735">
        <f t="shared" si="11"/>
        <v>0</v>
      </c>
      <c r="AA75" s="735"/>
      <c r="AB75" s="55"/>
      <c r="AC75" s="17"/>
      <c r="AD75" s="17"/>
      <c r="AE75" s="17" t="s">
        <v>69</v>
      </c>
      <c r="AF75" s="17"/>
      <c r="AG75" s="17"/>
    </row>
    <row r="76" spans="2:33">
      <c r="B76" s="50"/>
      <c r="C76" s="1831"/>
      <c r="D76" s="695" t="s">
        <v>31</v>
      </c>
      <c r="E76" s="79">
        <v>10</v>
      </c>
      <c r="F76" s="80">
        <v>20</v>
      </c>
      <c r="G76" s="81">
        <v>1</v>
      </c>
      <c r="H76" s="425"/>
      <c r="I76" s="198"/>
      <c r="J76" s="431"/>
      <c r="K76" s="186">
        <v>11.5</v>
      </c>
      <c r="L76" s="187">
        <v>20.5</v>
      </c>
      <c r="M76" s="192">
        <v>1</v>
      </c>
      <c r="N76" s="425"/>
      <c r="O76" s="198"/>
      <c r="P76" s="431"/>
      <c r="Q76" s="635">
        <v>6</v>
      </c>
      <c r="R76" s="636">
        <v>16</v>
      </c>
      <c r="S76" s="651">
        <v>1</v>
      </c>
      <c r="T76" s="186">
        <v>10.5</v>
      </c>
      <c r="U76" s="187">
        <v>20.5</v>
      </c>
      <c r="V76" s="188">
        <v>1</v>
      </c>
      <c r="W76" s="853">
        <v>8</v>
      </c>
      <c r="X76" s="854">
        <v>18</v>
      </c>
      <c r="Y76" s="1013">
        <v>1</v>
      </c>
      <c r="Z76" s="735">
        <f t="shared" si="11"/>
        <v>44</v>
      </c>
      <c r="AA76" s="735"/>
      <c r="AB76" s="55"/>
      <c r="AC76" s="17"/>
      <c r="AD76" s="17"/>
      <c r="AE76" s="17"/>
      <c r="AF76" s="17"/>
      <c r="AG76" s="17"/>
    </row>
    <row r="77" spans="2:33">
      <c r="B77" s="50"/>
      <c r="C77" s="1831"/>
      <c r="D77" s="695" t="s">
        <v>55</v>
      </c>
      <c r="E77" s="173"/>
      <c r="F77" s="174"/>
      <c r="G77" s="175"/>
      <c r="H77" s="191">
        <v>10.5</v>
      </c>
      <c r="I77" s="187">
        <v>20.5</v>
      </c>
      <c r="J77" s="188">
        <v>1</v>
      </c>
      <c r="K77" s="424"/>
      <c r="L77" s="198"/>
      <c r="M77" s="426"/>
      <c r="N77" s="191">
        <v>10.5</v>
      </c>
      <c r="O77" s="187">
        <v>20.5</v>
      </c>
      <c r="P77" s="188">
        <v>1</v>
      </c>
      <c r="Q77" s="635">
        <v>7</v>
      </c>
      <c r="R77" s="636">
        <v>16</v>
      </c>
      <c r="S77" s="651">
        <v>1</v>
      </c>
      <c r="T77" s="186">
        <v>10.5</v>
      </c>
      <c r="U77" s="187">
        <v>20.5</v>
      </c>
      <c r="V77" s="188">
        <v>1</v>
      </c>
      <c r="W77" s="79">
        <v>10</v>
      </c>
      <c r="X77" s="80">
        <v>20</v>
      </c>
      <c r="Y77" s="81">
        <v>1</v>
      </c>
      <c r="Z77" s="735">
        <f t="shared" ref="Z77:Z88" si="12">SUM(F77-E77-G77+I77-H77-J77+L77-K77-M77+O77-N77-P77+R77-Q77-S77+U77-T77-V77+X77-W77-Y77)</f>
        <v>44</v>
      </c>
      <c r="AA77" s="735"/>
      <c r="AB77" s="55"/>
      <c r="AC77" s="17"/>
      <c r="AD77" s="17"/>
      <c r="AE77" s="17"/>
      <c r="AF77" s="17"/>
      <c r="AG77" s="17"/>
    </row>
    <row r="78" spans="2:33" ht="15" customHeight="1">
      <c r="B78" s="50"/>
      <c r="C78" s="1831"/>
      <c r="D78" s="695" t="s">
        <v>35</v>
      </c>
      <c r="E78" s="173"/>
      <c r="F78" s="174"/>
      <c r="G78" s="175"/>
      <c r="H78" s="191">
        <v>10.5</v>
      </c>
      <c r="I78" s="187">
        <v>20.5</v>
      </c>
      <c r="J78" s="188">
        <v>1</v>
      </c>
      <c r="K78" s="186">
        <v>10.5</v>
      </c>
      <c r="L78" s="187">
        <v>20.5</v>
      </c>
      <c r="M78" s="192">
        <v>1</v>
      </c>
      <c r="N78" s="997">
        <v>6</v>
      </c>
      <c r="O78" s="636">
        <v>16</v>
      </c>
      <c r="P78" s="651">
        <v>1</v>
      </c>
      <c r="Q78" s="424"/>
      <c r="R78" s="198"/>
      <c r="S78" s="431"/>
      <c r="T78" s="635">
        <v>7</v>
      </c>
      <c r="U78" s="636">
        <v>16</v>
      </c>
      <c r="V78" s="651">
        <v>1</v>
      </c>
      <c r="W78" s="79">
        <v>10</v>
      </c>
      <c r="X78" s="80">
        <v>20</v>
      </c>
      <c r="Y78" s="81">
        <v>1</v>
      </c>
      <c r="Z78" s="735">
        <f t="shared" si="12"/>
        <v>44</v>
      </c>
      <c r="AA78" s="735"/>
      <c r="AB78" s="55"/>
      <c r="AC78" s="17"/>
      <c r="AD78" s="17"/>
      <c r="AE78" s="17"/>
      <c r="AF78" s="17"/>
      <c r="AG78" s="17"/>
    </row>
    <row r="79" spans="2:33">
      <c r="B79" s="50"/>
      <c r="C79" s="1831"/>
      <c r="D79" s="695" t="s">
        <v>87</v>
      </c>
      <c r="E79" s="79">
        <v>10</v>
      </c>
      <c r="F79" s="80">
        <v>20</v>
      </c>
      <c r="G79" s="81">
        <v>1</v>
      </c>
      <c r="H79" s="1006">
        <v>20</v>
      </c>
      <c r="I79" s="374">
        <v>6</v>
      </c>
      <c r="J79" s="375">
        <v>1</v>
      </c>
      <c r="K79" s="373">
        <v>20</v>
      </c>
      <c r="L79" s="374">
        <v>6</v>
      </c>
      <c r="M79" s="1009">
        <v>1</v>
      </c>
      <c r="N79" s="1006">
        <v>21</v>
      </c>
      <c r="O79" s="374">
        <v>6</v>
      </c>
      <c r="P79" s="375">
        <v>1</v>
      </c>
      <c r="Q79" s="424"/>
      <c r="R79" s="198"/>
      <c r="S79" s="431"/>
      <c r="T79" s="186">
        <v>10.5</v>
      </c>
      <c r="U79" s="187">
        <v>20.5</v>
      </c>
      <c r="V79" s="188">
        <v>1</v>
      </c>
      <c r="W79" s="173"/>
      <c r="X79" s="174"/>
      <c r="Y79" s="175"/>
      <c r="Z79" s="735">
        <f t="shared" si="12"/>
        <v>-28</v>
      </c>
      <c r="AA79" s="735"/>
      <c r="AB79" s="55"/>
      <c r="AC79" s="17"/>
      <c r="AD79" s="17"/>
      <c r="AE79" s="17"/>
      <c r="AF79" s="17"/>
      <c r="AG79" s="17"/>
    </row>
    <row r="80" spans="2:33">
      <c r="B80" s="50"/>
      <c r="C80" s="1831"/>
      <c r="D80" s="932" t="s">
        <v>104</v>
      </c>
      <c r="E80" s="173"/>
      <c r="F80" s="174"/>
      <c r="G80" s="175"/>
      <c r="H80" s="425"/>
      <c r="I80" s="198"/>
      <c r="J80" s="431"/>
      <c r="K80" s="635">
        <v>6</v>
      </c>
      <c r="L80" s="636">
        <v>16</v>
      </c>
      <c r="M80" s="637">
        <v>1</v>
      </c>
      <c r="N80" s="997">
        <v>7</v>
      </c>
      <c r="O80" s="636">
        <v>16</v>
      </c>
      <c r="P80" s="651">
        <v>1</v>
      </c>
      <c r="Q80" s="186">
        <v>10.5</v>
      </c>
      <c r="R80" s="187">
        <v>20.5</v>
      </c>
      <c r="S80" s="188">
        <v>1</v>
      </c>
      <c r="T80" s="186">
        <v>10.5</v>
      </c>
      <c r="U80" s="187">
        <v>20.5</v>
      </c>
      <c r="V80" s="188">
        <v>1</v>
      </c>
      <c r="W80" s="853">
        <v>8</v>
      </c>
      <c r="X80" s="854">
        <v>18</v>
      </c>
      <c r="Y80" s="1013">
        <v>1</v>
      </c>
      <c r="Z80" s="735">
        <f t="shared" si="12"/>
        <v>44</v>
      </c>
      <c r="AA80" s="735"/>
      <c r="AB80" s="55"/>
      <c r="AC80" s="17"/>
      <c r="AD80" s="17"/>
      <c r="AE80" s="17"/>
      <c r="AF80" s="17"/>
      <c r="AG80" s="17"/>
    </row>
    <row r="81" spans="2:33">
      <c r="B81" s="50"/>
      <c r="C81" s="1830" t="s">
        <v>116</v>
      </c>
      <c r="D81" s="956" t="s">
        <v>32</v>
      </c>
      <c r="E81" s="558">
        <v>13</v>
      </c>
      <c r="F81" s="237">
        <v>20</v>
      </c>
      <c r="G81" s="546">
        <v>1</v>
      </c>
      <c r="H81" s="589"/>
      <c r="I81" s="570"/>
      <c r="J81" s="592"/>
      <c r="K81" s="586"/>
      <c r="L81" s="570"/>
      <c r="M81" s="890"/>
      <c r="N81" s="589"/>
      <c r="O81" s="570"/>
      <c r="P81" s="592"/>
      <c r="Q81" s="292">
        <v>16.5</v>
      </c>
      <c r="R81" s="293">
        <v>20.5</v>
      </c>
      <c r="S81" s="294"/>
      <c r="T81" s="632">
        <v>7</v>
      </c>
      <c r="U81" s="633">
        <v>15</v>
      </c>
      <c r="V81" s="862">
        <v>1</v>
      </c>
      <c r="W81" s="642">
        <v>8</v>
      </c>
      <c r="X81" s="643">
        <v>17</v>
      </c>
      <c r="Y81" s="1017">
        <v>1</v>
      </c>
      <c r="Z81" s="861">
        <f t="shared" si="12"/>
        <v>25</v>
      </c>
      <c r="AA81" s="734"/>
      <c r="AB81" s="54"/>
      <c r="AC81" s="17"/>
      <c r="AD81" s="17"/>
      <c r="AE81" s="17"/>
      <c r="AF81" s="17"/>
      <c r="AG81" s="17"/>
    </row>
    <row r="82" spans="2:33" ht="15" customHeight="1">
      <c r="B82" s="50"/>
      <c r="C82" s="1831"/>
      <c r="D82" s="957" t="s">
        <v>114</v>
      </c>
      <c r="E82" s="560">
        <v>13</v>
      </c>
      <c r="F82" s="80">
        <v>20</v>
      </c>
      <c r="G82" s="81">
        <v>1</v>
      </c>
      <c r="H82" s="425"/>
      <c r="I82" s="198"/>
      <c r="J82" s="431"/>
      <c r="K82" s="635">
        <v>7</v>
      </c>
      <c r="L82" s="636">
        <v>12</v>
      </c>
      <c r="M82" s="637"/>
      <c r="N82" s="191">
        <v>15.5</v>
      </c>
      <c r="O82" s="187">
        <v>20.5</v>
      </c>
      <c r="P82" s="188"/>
      <c r="Q82" s="635">
        <v>7</v>
      </c>
      <c r="R82" s="636">
        <v>12</v>
      </c>
      <c r="S82" s="651"/>
      <c r="T82" s="186">
        <v>10.5</v>
      </c>
      <c r="U82" s="187">
        <v>20.5</v>
      </c>
      <c r="V82" s="188">
        <v>1</v>
      </c>
      <c r="W82" s="79">
        <v>12</v>
      </c>
      <c r="X82" s="80">
        <v>20</v>
      </c>
      <c r="Y82" s="81">
        <v>1</v>
      </c>
      <c r="Z82" s="735">
        <f t="shared" si="12"/>
        <v>37</v>
      </c>
      <c r="AA82" s="735"/>
      <c r="AB82" s="55"/>
      <c r="AC82" s="17"/>
      <c r="AD82" s="17"/>
      <c r="AE82" s="17"/>
      <c r="AF82" s="17"/>
      <c r="AG82" s="17"/>
    </row>
    <row r="83" spans="2:33">
      <c r="B83" s="50"/>
      <c r="C83" s="1831"/>
      <c r="D83" s="957" t="s">
        <v>89</v>
      </c>
      <c r="E83" s="560">
        <v>13</v>
      </c>
      <c r="F83" s="80">
        <v>20</v>
      </c>
      <c r="G83" s="81">
        <v>1</v>
      </c>
      <c r="H83" s="191">
        <v>16.5</v>
      </c>
      <c r="I83" s="187">
        <v>20.5</v>
      </c>
      <c r="J83" s="188"/>
      <c r="K83" s="424"/>
      <c r="L83" s="198"/>
      <c r="M83" s="426"/>
      <c r="N83" s="997">
        <v>7</v>
      </c>
      <c r="O83" s="636">
        <v>12</v>
      </c>
      <c r="P83" s="651"/>
      <c r="Q83" s="424"/>
      <c r="R83" s="198"/>
      <c r="S83" s="431"/>
      <c r="T83" s="186">
        <v>13.5</v>
      </c>
      <c r="U83" s="187">
        <v>20.5</v>
      </c>
      <c r="V83" s="188">
        <v>1</v>
      </c>
      <c r="W83" s="79">
        <v>12</v>
      </c>
      <c r="X83" s="80">
        <v>20</v>
      </c>
      <c r="Y83" s="81">
        <v>1</v>
      </c>
      <c r="Z83" s="735">
        <f t="shared" si="12"/>
        <v>28</v>
      </c>
      <c r="AA83" s="735"/>
      <c r="AB83" s="55"/>
      <c r="AC83" s="17"/>
      <c r="AD83" s="17"/>
      <c r="AE83" s="17"/>
      <c r="AF83" s="17"/>
      <c r="AG83" s="17"/>
    </row>
    <row r="84" spans="2:33">
      <c r="B84" s="50"/>
      <c r="C84" s="1831"/>
      <c r="D84" s="957" t="s">
        <v>38</v>
      </c>
      <c r="E84" s="1033"/>
      <c r="F84" s="1028"/>
      <c r="G84" s="1029"/>
      <c r="H84" s="191"/>
      <c r="I84" s="187"/>
      <c r="J84" s="188"/>
      <c r="K84" s="424"/>
      <c r="L84" s="198"/>
      <c r="M84" s="426"/>
      <c r="N84" s="1027"/>
      <c r="O84" s="841"/>
      <c r="P84" s="951"/>
      <c r="Q84" s="424"/>
      <c r="R84" s="198"/>
      <c r="S84" s="431"/>
      <c r="T84" s="635">
        <v>7</v>
      </c>
      <c r="U84" s="636">
        <v>16</v>
      </c>
      <c r="V84" s="651">
        <v>1</v>
      </c>
      <c r="W84" s="853">
        <v>8</v>
      </c>
      <c r="X84" s="854">
        <v>15</v>
      </c>
      <c r="Y84" s="1013">
        <v>1</v>
      </c>
      <c r="Z84" s="735">
        <f t="shared" si="12"/>
        <v>14</v>
      </c>
      <c r="AA84" s="735"/>
      <c r="AB84" s="55"/>
      <c r="AC84" s="17"/>
      <c r="AD84" s="17"/>
      <c r="AE84" s="17"/>
      <c r="AF84" s="17"/>
      <c r="AG84" s="17"/>
    </row>
    <row r="85" spans="2:33">
      <c r="B85" s="50"/>
      <c r="C85" s="1831"/>
      <c r="D85" s="957" t="s">
        <v>56</v>
      </c>
      <c r="E85" s="1034">
        <v>7</v>
      </c>
      <c r="F85" s="854">
        <v>15</v>
      </c>
      <c r="G85" s="1013">
        <v>1</v>
      </c>
      <c r="H85" s="425"/>
      <c r="I85" s="198"/>
      <c r="J85" s="431"/>
      <c r="K85" s="186">
        <v>16.5</v>
      </c>
      <c r="L85" s="187">
        <v>20.5</v>
      </c>
      <c r="M85" s="192"/>
      <c r="N85" s="425"/>
      <c r="O85" s="198"/>
      <c r="P85" s="431"/>
      <c r="Q85" s="186">
        <v>16.5</v>
      </c>
      <c r="R85" s="187">
        <v>20.5</v>
      </c>
      <c r="S85" s="188"/>
      <c r="T85" s="186">
        <v>13.5</v>
      </c>
      <c r="U85" s="187">
        <v>20.5</v>
      </c>
      <c r="V85" s="188">
        <v>1</v>
      </c>
      <c r="W85" s="79">
        <v>12</v>
      </c>
      <c r="X85" s="80">
        <v>20</v>
      </c>
      <c r="Y85" s="81">
        <v>1</v>
      </c>
      <c r="Z85" s="735">
        <f t="shared" si="12"/>
        <v>28</v>
      </c>
      <c r="AA85" s="735"/>
      <c r="AB85" s="55"/>
      <c r="AC85" s="17"/>
      <c r="AD85" s="17"/>
      <c r="AE85" s="17"/>
      <c r="AF85" s="17"/>
      <c r="AG85" s="17"/>
    </row>
    <row r="86" spans="2:33">
      <c r="B86" s="50"/>
      <c r="C86" s="1831"/>
      <c r="D86" s="957" t="s">
        <v>36</v>
      </c>
      <c r="E86" s="560">
        <v>13</v>
      </c>
      <c r="F86" s="80">
        <v>20</v>
      </c>
      <c r="G86" s="81">
        <v>1</v>
      </c>
      <c r="H86" s="170"/>
      <c r="I86" s="171"/>
      <c r="J86" s="172"/>
      <c r="K86" s="186">
        <v>16.5</v>
      </c>
      <c r="L86" s="187">
        <v>20.5</v>
      </c>
      <c r="M86" s="192"/>
      <c r="N86" s="191">
        <v>16.5</v>
      </c>
      <c r="O86" s="187">
        <v>20.5</v>
      </c>
      <c r="P86" s="188"/>
      <c r="Q86" s="676">
        <v>7</v>
      </c>
      <c r="R86" s="666">
        <v>12</v>
      </c>
      <c r="S86" s="667"/>
      <c r="T86" s="186">
        <v>13.5</v>
      </c>
      <c r="U86" s="187">
        <v>20.5</v>
      </c>
      <c r="V86" s="188">
        <v>1</v>
      </c>
      <c r="W86" s="79">
        <v>12</v>
      </c>
      <c r="X86" s="80">
        <v>20</v>
      </c>
      <c r="Y86" s="81">
        <v>1</v>
      </c>
      <c r="Z86" s="735">
        <f t="shared" si="12"/>
        <v>32</v>
      </c>
      <c r="AA86" s="735"/>
      <c r="AB86" s="55"/>
      <c r="AC86" s="17"/>
      <c r="AD86" s="17"/>
      <c r="AE86" s="17"/>
      <c r="AF86" s="17"/>
      <c r="AG86" s="17"/>
    </row>
    <row r="87" spans="2:33">
      <c r="B87" s="50"/>
      <c r="C87" s="1831"/>
      <c r="D87" s="957" t="s">
        <v>34</v>
      </c>
      <c r="E87" s="599">
        <v>13</v>
      </c>
      <c r="F87" s="331">
        <v>20</v>
      </c>
      <c r="G87" s="655">
        <v>1</v>
      </c>
      <c r="H87" s="1015">
        <v>7</v>
      </c>
      <c r="I87" s="848">
        <v>12</v>
      </c>
      <c r="J87" s="1016"/>
      <c r="K87" s="847">
        <v>7</v>
      </c>
      <c r="L87" s="848">
        <v>12</v>
      </c>
      <c r="M87" s="849"/>
      <c r="N87" s="945"/>
      <c r="O87" s="937"/>
      <c r="P87" s="938"/>
      <c r="Q87" s="606">
        <v>16.5</v>
      </c>
      <c r="R87" s="607">
        <v>20.5</v>
      </c>
      <c r="S87" s="905"/>
      <c r="T87" s="847">
        <v>7</v>
      </c>
      <c r="U87" s="848">
        <v>15</v>
      </c>
      <c r="V87" s="1016">
        <v>1</v>
      </c>
      <c r="W87" s="91">
        <v>12</v>
      </c>
      <c r="X87" s="92">
        <v>20</v>
      </c>
      <c r="Y87" s="547">
        <v>1</v>
      </c>
      <c r="Z87" s="909">
        <f t="shared" si="12"/>
        <v>34</v>
      </c>
      <c r="AA87" s="909"/>
      <c r="AB87" s="56"/>
      <c r="AC87" s="17"/>
      <c r="AD87" s="17"/>
      <c r="AE87" s="17"/>
      <c r="AF87" s="17"/>
      <c r="AG87" s="17"/>
    </row>
    <row r="88" spans="2:33">
      <c r="B88" s="50"/>
      <c r="C88" s="1832"/>
      <c r="D88" s="958" t="s">
        <v>117</v>
      </c>
      <c r="E88" s="1035">
        <v>7</v>
      </c>
      <c r="F88" s="1011">
        <v>15</v>
      </c>
      <c r="G88" s="1012">
        <v>1</v>
      </c>
      <c r="H88" s="606">
        <v>16.5</v>
      </c>
      <c r="I88" s="607">
        <v>20.5</v>
      </c>
      <c r="J88" s="905"/>
      <c r="K88" s="936"/>
      <c r="L88" s="937"/>
      <c r="M88" s="938"/>
      <c r="N88" s="936"/>
      <c r="O88" s="937"/>
      <c r="P88" s="938"/>
      <c r="Q88" s="606">
        <v>16.5</v>
      </c>
      <c r="R88" s="607">
        <v>20.5</v>
      </c>
      <c r="S88" s="905"/>
      <c r="T88" s="847">
        <v>7</v>
      </c>
      <c r="U88" s="848">
        <v>15</v>
      </c>
      <c r="V88" s="1016">
        <v>1</v>
      </c>
      <c r="W88" s="460">
        <v>12</v>
      </c>
      <c r="X88" s="461">
        <v>20</v>
      </c>
      <c r="Y88" s="505">
        <v>1</v>
      </c>
      <c r="Z88" s="1">
        <f t="shared" si="12"/>
        <v>29</v>
      </c>
      <c r="AA88" s="952"/>
      <c r="AB88" s="964"/>
      <c r="AC88" s="17"/>
      <c r="AD88" s="17"/>
      <c r="AE88" s="17"/>
      <c r="AF88" s="17"/>
      <c r="AG88" s="17"/>
    </row>
    <row r="89" spans="2:33">
      <c r="B89" s="50"/>
      <c r="C89" s="32"/>
      <c r="D89" s="295"/>
      <c r="E89" s="1828">
        <f>COUNT(E67:E88)</f>
        <v>14</v>
      </c>
      <c r="F89" s="1829"/>
      <c r="G89" s="1829"/>
      <c r="H89" s="1828">
        <f t="shared" ref="H89" si="13">COUNT(H67:H88)</f>
        <v>12</v>
      </c>
      <c r="I89" s="1829"/>
      <c r="J89" s="1829"/>
      <c r="K89" s="1828">
        <f t="shared" ref="K89" si="14">COUNT(K67:K88)</f>
        <v>14</v>
      </c>
      <c r="L89" s="1829"/>
      <c r="M89" s="1829"/>
      <c r="N89" s="1828">
        <f t="shared" ref="N89" si="15">COUNT(N67:N88)</f>
        <v>13</v>
      </c>
      <c r="O89" s="1829"/>
      <c r="P89" s="1829"/>
      <c r="Q89" s="1828">
        <f t="shared" ref="Q89" si="16">COUNT(Q67:Q88)</f>
        <v>15</v>
      </c>
      <c r="R89" s="1829"/>
      <c r="S89" s="1829"/>
      <c r="T89" s="1828">
        <f t="shared" ref="T89" si="17">COUNT(T67:T88)</f>
        <v>20</v>
      </c>
      <c r="U89" s="1829"/>
      <c r="V89" s="1829"/>
      <c r="W89" s="2039">
        <f t="shared" ref="W89" si="18">COUNT(W67:W88)</f>
        <v>16</v>
      </c>
      <c r="X89" s="2040"/>
      <c r="Y89" s="2041"/>
      <c r="Z89" s="23"/>
      <c r="AA89" s="23"/>
      <c r="AB89" s="17"/>
      <c r="AC89" s="17"/>
      <c r="AD89" s="17"/>
      <c r="AE89" s="17"/>
      <c r="AF89" s="17"/>
      <c r="AG89" s="17"/>
    </row>
    <row r="90" spans="2:33" ht="15" customHeight="1">
      <c r="B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AC90" s="17"/>
      <c r="AD90" s="17"/>
      <c r="AE90" s="17"/>
      <c r="AF90" s="17"/>
      <c r="AG90" s="17"/>
    </row>
    <row r="91" spans="2:33" ht="15" customHeight="1">
      <c r="B91" s="50"/>
      <c r="C91" s="1817" t="s">
        <v>119</v>
      </c>
      <c r="D91" s="1817"/>
      <c r="E91" s="2008"/>
      <c r="F91" s="2009"/>
      <c r="G91" s="2009"/>
      <c r="H91" s="1954" t="s">
        <v>91</v>
      </c>
      <c r="I91" s="1955"/>
      <c r="J91" s="1955"/>
      <c r="K91" s="1982" t="s">
        <v>143</v>
      </c>
      <c r="L91" s="1983"/>
      <c r="M91" s="1983"/>
      <c r="N91" s="2044" t="s">
        <v>144</v>
      </c>
      <c r="O91" s="2045"/>
      <c r="P91" s="2045"/>
      <c r="Q91" s="1990" t="s">
        <v>145</v>
      </c>
      <c r="R91" s="1991"/>
      <c r="S91" s="1991"/>
      <c r="T91" s="1982" t="s">
        <v>146</v>
      </c>
      <c r="U91" s="1983"/>
      <c r="V91" s="1983"/>
      <c r="W91" s="1874"/>
      <c r="X91" s="1875"/>
      <c r="Y91" s="1876"/>
      <c r="Z91" s="50"/>
      <c r="AB91" s="47"/>
      <c r="AC91" s="17"/>
      <c r="AD91" s="17"/>
      <c r="AE91" s="17"/>
      <c r="AF91" s="17"/>
      <c r="AG91" s="17"/>
    </row>
    <row r="92" spans="2:33">
      <c r="B92" s="50"/>
      <c r="C92" s="1818"/>
      <c r="D92" s="1818"/>
      <c r="E92" s="2042"/>
      <c r="F92" s="2043"/>
      <c r="G92" s="2043"/>
      <c r="H92" s="1977"/>
      <c r="I92" s="1976"/>
      <c r="J92" s="1976"/>
      <c r="K92" s="1984"/>
      <c r="L92" s="1985"/>
      <c r="M92" s="1985"/>
      <c r="N92" s="2046"/>
      <c r="O92" s="2047"/>
      <c r="P92" s="2047"/>
      <c r="Q92" s="1992"/>
      <c r="R92" s="1993"/>
      <c r="S92" s="1993"/>
      <c r="T92" s="1984"/>
      <c r="U92" s="1985"/>
      <c r="V92" s="1985"/>
      <c r="W92" s="1962"/>
      <c r="X92" s="1963"/>
      <c r="Y92" s="1968"/>
      <c r="Z92" s="17"/>
      <c r="AA92" s="17"/>
      <c r="AB92" s="17"/>
      <c r="AC92" s="17"/>
      <c r="AD92" s="17"/>
      <c r="AE92" s="17"/>
      <c r="AF92" s="17"/>
      <c r="AG92" s="17"/>
    </row>
    <row r="93" spans="2:33" ht="16.5" customHeight="1">
      <c r="B93" s="50"/>
      <c r="C93" s="19" t="s">
        <v>1</v>
      </c>
      <c r="D93" s="19" t="s">
        <v>2</v>
      </c>
      <c r="E93" s="2035" t="s">
        <v>147</v>
      </c>
      <c r="F93" s="2036"/>
      <c r="G93" s="2036"/>
      <c r="H93" s="1913" t="s">
        <v>148</v>
      </c>
      <c r="I93" s="1950"/>
      <c r="J93" s="1950"/>
      <c r="K93" s="1913" t="s">
        <v>149</v>
      </c>
      <c r="L93" s="1950"/>
      <c r="M93" s="1950"/>
      <c r="N93" s="1931" t="s">
        <v>150</v>
      </c>
      <c r="O93" s="1932"/>
      <c r="P93" s="1932"/>
      <c r="Q93" s="1913" t="s">
        <v>151</v>
      </c>
      <c r="R93" s="1950"/>
      <c r="S93" s="1950"/>
      <c r="T93" s="1880" t="s">
        <v>152</v>
      </c>
      <c r="U93" s="1881"/>
      <c r="V93" s="1881"/>
      <c r="W93" s="1951" t="s">
        <v>153</v>
      </c>
      <c r="X93" s="1854"/>
      <c r="Y93" s="1854"/>
      <c r="Z93" s="19" t="s">
        <v>5</v>
      </c>
      <c r="AA93" s="18" t="s">
        <v>6</v>
      </c>
      <c r="AB93" s="20" t="s">
        <v>7</v>
      </c>
      <c r="AC93" s="24"/>
      <c r="AD93" s="17"/>
      <c r="AE93" s="17"/>
      <c r="AF93" s="17"/>
      <c r="AG93" s="17"/>
    </row>
    <row r="94" spans="2:33" ht="17.25" customHeight="1">
      <c r="B94" s="50"/>
      <c r="C94" s="1952" t="s">
        <v>8</v>
      </c>
      <c r="D94" s="925" t="s">
        <v>9</v>
      </c>
      <c r="E94" s="907">
        <v>10.5</v>
      </c>
      <c r="F94" s="571">
        <v>20.5</v>
      </c>
      <c r="G94" s="587">
        <v>1</v>
      </c>
      <c r="H94" s="590"/>
      <c r="I94" s="572"/>
      <c r="J94" s="914"/>
      <c r="K94" s="648">
        <v>6</v>
      </c>
      <c r="L94" s="649">
        <v>16</v>
      </c>
      <c r="M94" s="650">
        <v>1</v>
      </c>
      <c r="N94" s="907">
        <v>11.5</v>
      </c>
      <c r="O94" s="571">
        <v>20.5</v>
      </c>
      <c r="P94" s="587">
        <v>1</v>
      </c>
      <c r="Q94" s="590"/>
      <c r="R94" s="572"/>
      <c r="S94" s="914"/>
      <c r="T94" s="915">
        <v>13</v>
      </c>
      <c r="U94" s="916">
        <v>23</v>
      </c>
      <c r="V94" s="917">
        <v>1</v>
      </c>
      <c r="W94" s="460">
        <v>10</v>
      </c>
      <c r="X94" s="461">
        <v>20</v>
      </c>
      <c r="Y94" s="505">
        <v>1</v>
      </c>
      <c r="Z94" s="19">
        <f t="shared" ref="Z94:Z104" si="19">SUM(F94-E94-G94+I94-H94-J94+L94-K94-M94+O94-N94-P94+R94-Q94-S94+U94-T94-V94+X94-W94-Y94)</f>
        <v>44</v>
      </c>
      <c r="AA94" s="18"/>
      <c r="AB94" s="826"/>
      <c r="AC94" s="24"/>
      <c r="AD94" s="17"/>
      <c r="AE94" s="17"/>
      <c r="AF94" s="17"/>
      <c r="AG94" s="17"/>
    </row>
    <row r="95" spans="2:33" ht="17.25" customHeight="1">
      <c r="B95" s="50"/>
      <c r="C95" s="2049"/>
      <c r="D95" s="1031" t="s">
        <v>154</v>
      </c>
      <c r="E95" s="1032"/>
      <c r="F95" s="572"/>
      <c r="G95" s="914"/>
      <c r="H95" s="590"/>
      <c r="I95" s="572"/>
      <c r="J95" s="914"/>
      <c r="K95" s="648">
        <v>7</v>
      </c>
      <c r="L95" s="649">
        <v>16</v>
      </c>
      <c r="M95" s="650">
        <v>1</v>
      </c>
      <c r="N95" s="602">
        <v>10</v>
      </c>
      <c r="O95" s="603">
        <v>20</v>
      </c>
      <c r="P95" s="921">
        <v>1</v>
      </c>
      <c r="Q95" s="648">
        <v>7</v>
      </c>
      <c r="R95" s="649">
        <v>17</v>
      </c>
      <c r="S95" s="650">
        <v>1</v>
      </c>
      <c r="T95" s="915">
        <v>13</v>
      </c>
      <c r="U95" s="916">
        <v>23</v>
      </c>
      <c r="V95" s="917">
        <v>1</v>
      </c>
      <c r="W95" s="460">
        <v>10</v>
      </c>
      <c r="X95" s="461">
        <v>20</v>
      </c>
      <c r="Y95" s="505">
        <v>1</v>
      </c>
      <c r="Z95" s="19">
        <f t="shared" si="19"/>
        <v>44</v>
      </c>
      <c r="AA95" s="18"/>
      <c r="AB95" s="826"/>
      <c r="AC95" s="24"/>
      <c r="AD95" s="17"/>
      <c r="AE95" s="17"/>
      <c r="AF95" s="17"/>
      <c r="AG95" s="17"/>
    </row>
    <row r="96" spans="2:33" ht="14.25" customHeight="1">
      <c r="B96" s="50"/>
      <c r="C96" s="2004" t="s">
        <v>11</v>
      </c>
      <c r="D96" s="1030" t="s">
        <v>51</v>
      </c>
      <c r="E96" s="292">
        <v>10.5</v>
      </c>
      <c r="F96" s="293">
        <v>20.5</v>
      </c>
      <c r="G96" s="294">
        <v>1</v>
      </c>
      <c r="H96" s="292">
        <v>10.5</v>
      </c>
      <c r="I96" s="293">
        <v>20.5</v>
      </c>
      <c r="J96" s="294">
        <v>1</v>
      </c>
      <c r="K96" s="292">
        <v>10.5</v>
      </c>
      <c r="L96" s="293">
        <v>20.5</v>
      </c>
      <c r="M96" s="294">
        <v>1</v>
      </c>
      <c r="N96" s="632">
        <v>6</v>
      </c>
      <c r="O96" s="633">
        <v>16</v>
      </c>
      <c r="P96" s="862">
        <v>1</v>
      </c>
      <c r="Q96" s="292">
        <v>11.5</v>
      </c>
      <c r="R96" s="293">
        <v>20.5</v>
      </c>
      <c r="S96" s="294">
        <v>1</v>
      </c>
      <c r="T96" s="586"/>
      <c r="U96" s="570"/>
      <c r="V96" s="592"/>
      <c r="W96" s="682"/>
      <c r="X96" s="683"/>
      <c r="Y96" s="684"/>
      <c r="Z96" s="365">
        <f t="shared" si="19"/>
        <v>44</v>
      </c>
      <c r="AA96" s="2"/>
      <c r="AB96" s="268"/>
      <c r="AC96" s="24"/>
      <c r="AD96" s="17"/>
      <c r="AE96" s="17"/>
      <c r="AF96" s="17"/>
      <c r="AG96" s="17"/>
    </row>
    <row r="97" spans="2:33" ht="18.75" customHeight="1">
      <c r="B97" s="50"/>
      <c r="C97" s="2005"/>
      <c r="D97" s="205" t="s">
        <v>14</v>
      </c>
      <c r="E97" s="939">
        <v>7</v>
      </c>
      <c r="F97" s="940">
        <v>17</v>
      </c>
      <c r="G97" s="974">
        <v>1</v>
      </c>
      <c r="H97" s="407">
        <v>10.5</v>
      </c>
      <c r="I97" s="196">
        <v>20.5</v>
      </c>
      <c r="J97" s="408">
        <v>1</v>
      </c>
      <c r="K97" s="193"/>
      <c r="L97" s="194"/>
      <c r="M97" s="195"/>
      <c r="N97" s="407">
        <v>11.5</v>
      </c>
      <c r="O97" s="196">
        <v>20.5</v>
      </c>
      <c r="P97" s="408">
        <v>1</v>
      </c>
      <c r="Q97" s="407">
        <v>10.5</v>
      </c>
      <c r="R97" s="196">
        <v>20.5</v>
      </c>
      <c r="S97" s="408">
        <v>1</v>
      </c>
      <c r="T97" s="844">
        <v>13</v>
      </c>
      <c r="U97" s="842">
        <v>23</v>
      </c>
      <c r="V97" s="949">
        <v>1</v>
      </c>
      <c r="W97" s="211"/>
      <c r="X97" s="212"/>
      <c r="Y97" s="213"/>
      <c r="Z97" s="364">
        <f t="shared" si="19"/>
        <v>44</v>
      </c>
      <c r="AA97" s="525"/>
      <c r="AB97" s="56"/>
      <c r="AC97" s="24"/>
      <c r="AD97" s="17"/>
      <c r="AE97" s="17"/>
      <c r="AF97" s="17"/>
      <c r="AG97" s="17"/>
    </row>
    <row r="98" spans="2:33" ht="17.25" customHeight="1">
      <c r="B98" s="50"/>
      <c r="C98" s="1952" t="s">
        <v>52</v>
      </c>
      <c r="D98" s="929" t="s">
        <v>19</v>
      </c>
      <c r="E98" s="586"/>
      <c r="F98" s="570"/>
      <c r="G98" s="592"/>
      <c r="H98" s="632">
        <v>7</v>
      </c>
      <c r="I98" s="633">
        <v>16</v>
      </c>
      <c r="J98" s="862">
        <v>1</v>
      </c>
      <c r="K98" s="586"/>
      <c r="L98" s="570"/>
      <c r="M98" s="592"/>
      <c r="N98" s="953">
        <v>10.5</v>
      </c>
      <c r="O98" s="954">
        <v>20.5</v>
      </c>
      <c r="P98" s="1042">
        <v>1</v>
      </c>
      <c r="Q98" s="292">
        <v>10.5</v>
      </c>
      <c r="R98" s="293">
        <v>20.5</v>
      </c>
      <c r="S98" s="294">
        <v>1</v>
      </c>
      <c r="T98" s="934">
        <v>13</v>
      </c>
      <c r="U98" s="933">
        <v>23</v>
      </c>
      <c r="V98" s="935">
        <v>1</v>
      </c>
      <c r="W98" s="244">
        <v>10</v>
      </c>
      <c r="X98" s="237">
        <v>20</v>
      </c>
      <c r="Y98" s="245">
        <v>1</v>
      </c>
      <c r="Z98" s="365">
        <f t="shared" si="19"/>
        <v>44</v>
      </c>
      <c r="AA98" s="2"/>
      <c r="AB98" s="268"/>
      <c r="AC98" s="24"/>
      <c r="AD98" s="17"/>
      <c r="AE98" s="17"/>
      <c r="AF98" s="17"/>
      <c r="AG98" s="17"/>
    </row>
    <row r="99" spans="2:33" ht="17.25" customHeight="1">
      <c r="B99" s="50"/>
      <c r="C99" s="2006"/>
      <c r="D99" s="930" t="s">
        <v>21</v>
      </c>
      <c r="E99" s="186">
        <v>10.5</v>
      </c>
      <c r="F99" s="187">
        <v>20.5</v>
      </c>
      <c r="G99" s="188">
        <v>1</v>
      </c>
      <c r="H99" s="186">
        <v>10.5</v>
      </c>
      <c r="I99" s="187">
        <v>20.5</v>
      </c>
      <c r="J99" s="188">
        <v>1</v>
      </c>
      <c r="K99" s="850">
        <v>11.5</v>
      </c>
      <c r="L99" s="851">
        <v>20.5</v>
      </c>
      <c r="M99" s="1019">
        <v>1</v>
      </c>
      <c r="N99" s="424"/>
      <c r="O99" s="198"/>
      <c r="P99" s="431"/>
      <c r="Q99" s="635">
        <v>7</v>
      </c>
      <c r="R99" s="636">
        <v>17</v>
      </c>
      <c r="S99" s="651">
        <v>1</v>
      </c>
      <c r="T99" s="186">
        <v>10</v>
      </c>
      <c r="U99" s="187">
        <v>20</v>
      </c>
      <c r="V99" s="188">
        <v>1</v>
      </c>
      <c r="W99" s="173"/>
      <c r="X99" s="174"/>
      <c r="Y99" s="360"/>
      <c r="Z99" s="362">
        <f t="shared" si="19"/>
        <v>44</v>
      </c>
      <c r="AA99" s="297"/>
      <c r="AB99" s="55"/>
      <c r="AC99" s="24"/>
      <c r="AD99" s="17"/>
      <c r="AE99" s="17"/>
      <c r="AF99" s="17"/>
      <c r="AG99" s="17"/>
    </row>
    <row r="100" spans="2:33" ht="17.25" customHeight="1">
      <c r="B100" s="50"/>
      <c r="C100" s="1953"/>
      <c r="D100" s="931" t="s">
        <v>53</v>
      </c>
      <c r="E100" s="407">
        <v>10.5</v>
      </c>
      <c r="F100" s="196">
        <v>20.5</v>
      </c>
      <c r="G100" s="408">
        <v>1</v>
      </c>
      <c r="H100" s="193"/>
      <c r="I100" s="194"/>
      <c r="J100" s="195"/>
      <c r="K100" s="407">
        <v>11.5</v>
      </c>
      <c r="L100" s="196">
        <v>20.5</v>
      </c>
      <c r="M100" s="408">
        <v>1</v>
      </c>
      <c r="N100" s="407">
        <v>10.5</v>
      </c>
      <c r="O100" s="196">
        <v>20.5</v>
      </c>
      <c r="P100" s="408">
        <v>1</v>
      </c>
      <c r="Q100" s="193"/>
      <c r="R100" s="194"/>
      <c r="S100" s="195"/>
      <c r="T100" s="939">
        <v>7</v>
      </c>
      <c r="U100" s="940">
        <v>17</v>
      </c>
      <c r="V100" s="974">
        <v>1</v>
      </c>
      <c r="W100" s="91">
        <v>10</v>
      </c>
      <c r="X100" s="92">
        <v>20</v>
      </c>
      <c r="Y100" s="118">
        <v>1</v>
      </c>
      <c r="Z100" s="364">
        <f t="shared" si="19"/>
        <v>44</v>
      </c>
      <c r="AA100" s="525"/>
      <c r="AB100" s="56"/>
      <c r="AC100" s="24"/>
      <c r="AD100" s="17"/>
      <c r="AE100" s="17"/>
      <c r="AF100" s="17"/>
      <c r="AG100" s="17"/>
    </row>
    <row r="101" spans="2:33" ht="17.25" customHeight="1">
      <c r="B101" s="50"/>
      <c r="C101" s="1831" t="s">
        <v>23</v>
      </c>
      <c r="D101" s="694" t="s">
        <v>25</v>
      </c>
      <c r="E101" s="632">
        <v>7</v>
      </c>
      <c r="F101" s="633">
        <v>17</v>
      </c>
      <c r="G101" s="862">
        <v>1</v>
      </c>
      <c r="H101" s="292">
        <v>11.5</v>
      </c>
      <c r="I101" s="293">
        <v>20.5</v>
      </c>
      <c r="J101" s="294">
        <v>1</v>
      </c>
      <c r="K101" s="1036">
        <v>7</v>
      </c>
      <c r="L101" s="1037">
        <v>17</v>
      </c>
      <c r="M101" s="1038">
        <v>1</v>
      </c>
      <c r="N101" s="586"/>
      <c r="O101" s="570"/>
      <c r="P101" s="592"/>
      <c r="Q101" s="292">
        <v>10.5</v>
      </c>
      <c r="R101" s="293">
        <v>20.5</v>
      </c>
      <c r="S101" s="294">
        <v>1</v>
      </c>
      <c r="T101" s="934">
        <v>13</v>
      </c>
      <c r="U101" s="933">
        <v>23</v>
      </c>
      <c r="V101" s="935">
        <v>1</v>
      </c>
      <c r="W101" s="682"/>
      <c r="X101" s="683"/>
      <c r="Y101" s="684"/>
      <c r="Z101" s="2">
        <f t="shared" si="19"/>
        <v>44</v>
      </c>
      <c r="AA101" s="441"/>
      <c r="AB101" s="368"/>
      <c r="AC101" s="24"/>
      <c r="AD101" s="17"/>
      <c r="AE101" s="17"/>
      <c r="AF101" s="17"/>
      <c r="AG101" s="17"/>
    </row>
    <row r="102" spans="2:33" ht="18.75" customHeight="1">
      <c r="B102" s="50"/>
      <c r="C102" s="1831"/>
      <c r="D102" s="695" t="s">
        <v>27</v>
      </c>
      <c r="E102" s="424"/>
      <c r="F102" s="198"/>
      <c r="G102" s="431"/>
      <c r="H102" s="186">
        <v>10.5</v>
      </c>
      <c r="I102" s="187">
        <v>20.5</v>
      </c>
      <c r="J102" s="188">
        <v>1</v>
      </c>
      <c r="K102" s="994">
        <v>6</v>
      </c>
      <c r="L102" s="995">
        <v>16</v>
      </c>
      <c r="M102" s="996">
        <v>1</v>
      </c>
      <c r="N102" s="424"/>
      <c r="O102" s="198"/>
      <c r="P102" s="431"/>
      <c r="Q102" s="635">
        <v>7</v>
      </c>
      <c r="R102" s="636">
        <v>16</v>
      </c>
      <c r="S102" s="651">
        <v>1</v>
      </c>
      <c r="T102" s="950">
        <v>13</v>
      </c>
      <c r="U102" s="841">
        <v>23</v>
      </c>
      <c r="V102" s="951">
        <v>1</v>
      </c>
      <c r="W102" s="79">
        <v>10</v>
      </c>
      <c r="X102" s="80">
        <v>20</v>
      </c>
      <c r="Y102" s="247">
        <v>1</v>
      </c>
      <c r="Z102" s="297">
        <f t="shared" si="19"/>
        <v>44</v>
      </c>
      <c r="AA102" s="457"/>
      <c r="AB102" s="6"/>
      <c r="AC102" s="24"/>
      <c r="AD102" s="17"/>
      <c r="AE102" s="17"/>
      <c r="AF102" s="17"/>
      <c r="AG102" s="17"/>
    </row>
    <row r="103" spans="2:33" ht="17.25" customHeight="1">
      <c r="B103" s="50"/>
      <c r="C103" s="1831"/>
      <c r="D103" s="695" t="s">
        <v>28</v>
      </c>
      <c r="E103" s="987"/>
      <c r="F103" s="988"/>
      <c r="G103" s="989"/>
      <c r="H103" s="987"/>
      <c r="I103" s="988"/>
      <c r="J103" s="989"/>
      <c r="K103" s="987"/>
      <c r="L103" s="988"/>
      <c r="M103" s="989"/>
      <c r="N103" s="987"/>
      <c r="O103" s="988"/>
      <c r="P103" s="989"/>
      <c r="Q103" s="987"/>
      <c r="R103" s="988"/>
      <c r="S103" s="989"/>
      <c r="T103" s="987"/>
      <c r="U103" s="988"/>
      <c r="V103" s="989"/>
      <c r="W103" s="990"/>
      <c r="X103" s="991"/>
      <c r="Y103" s="992"/>
      <c r="Z103" s="297">
        <f t="shared" si="19"/>
        <v>0</v>
      </c>
      <c r="AA103" s="457"/>
      <c r="AB103" s="6"/>
      <c r="AC103" s="24"/>
      <c r="AD103" s="17"/>
      <c r="AE103" s="17"/>
      <c r="AF103" s="17"/>
      <c r="AG103" s="17"/>
    </row>
    <row r="104" spans="2:33" ht="17.25" customHeight="1">
      <c r="B104" s="50"/>
      <c r="C104" s="1831"/>
      <c r="D104" s="695" t="s">
        <v>31</v>
      </c>
      <c r="E104" s="987">
        <v>10.5</v>
      </c>
      <c r="F104" s="988">
        <v>20.5</v>
      </c>
      <c r="G104" s="989">
        <v>1</v>
      </c>
      <c r="H104" s="987">
        <v>10.5</v>
      </c>
      <c r="I104" s="988">
        <v>20.5</v>
      </c>
      <c r="J104" s="989">
        <v>1</v>
      </c>
      <c r="K104" s="987"/>
      <c r="L104" s="988"/>
      <c r="M104" s="989"/>
      <c r="N104" s="635">
        <v>6</v>
      </c>
      <c r="O104" s="636">
        <v>16</v>
      </c>
      <c r="P104" s="651">
        <v>1</v>
      </c>
      <c r="Q104" s="186">
        <v>11.5</v>
      </c>
      <c r="R104" s="187">
        <v>20.5</v>
      </c>
      <c r="S104" s="188">
        <v>1</v>
      </c>
      <c r="T104" s="950">
        <v>13</v>
      </c>
      <c r="U104" s="841">
        <v>23</v>
      </c>
      <c r="V104" s="951">
        <v>1</v>
      </c>
      <c r="W104" s="173"/>
      <c r="X104" s="174"/>
      <c r="Y104" s="360"/>
      <c r="Z104" s="297">
        <f t="shared" si="19"/>
        <v>44</v>
      </c>
      <c r="AA104" s="457"/>
      <c r="AB104" s="6"/>
      <c r="AC104" s="24"/>
      <c r="AD104" s="17"/>
      <c r="AE104" s="17"/>
      <c r="AF104" s="17"/>
      <c r="AG104" s="17"/>
    </row>
    <row r="105" spans="2:33" ht="18" customHeight="1">
      <c r="B105" s="50"/>
      <c r="C105" s="1831"/>
      <c r="D105" s="695" t="s">
        <v>55</v>
      </c>
      <c r="E105" s="424"/>
      <c r="F105" s="198"/>
      <c r="G105" s="431"/>
      <c r="H105" s="635">
        <v>7</v>
      </c>
      <c r="I105" s="636">
        <v>17</v>
      </c>
      <c r="J105" s="651">
        <v>1</v>
      </c>
      <c r="K105" s="186">
        <v>10.5</v>
      </c>
      <c r="L105" s="187">
        <v>20.5</v>
      </c>
      <c r="M105" s="188">
        <v>1</v>
      </c>
      <c r="N105" s="424"/>
      <c r="O105" s="198"/>
      <c r="P105" s="431"/>
      <c r="Q105" s="186">
        <v>11.5</v>
      </c>
      <c r="R105" s="187">
        <v>20.5</v>
      </c>
      <c r="S105" s="188">
        <v>1</v>
      </c>
      <c r="T105" s="950">
        <v>13</v>
      </c>
      <c r="U105" s="841">
        <v>23</v>
      </c>
      <c r="V105" s="951">
        <v>1</v>
      </c>
      <c r="W105" s="853">
        <v>8</v>
      </c>
      <c r="X105" s="854">
        <v>18</v>
      </c>
      <c r="Y105" s="855">
        <v>1</v>
      </c>
      <c r="Z105" s="297">
        <f t="shared" ref="Z105:Z116" si="20">SUM(F105-E105-G105+I105-H105-J105+L105-K105-M105+O105-N105-P105+R105-Q105-S105+U105-T105-V105+X105-W105-Y105)</f>
        <v>44</v>
      </c>
      <c r="AA105" s="457"/>
      <c r="AB105" s="6"/>
      <c r="AC105" s="24"/>
      <c r="AD105" s="17"/>
      <c r="AE105" s="17"/>
      <c r="AF105" s="17"/>
      <c r="AG105" s="17"/>
    </row>
    <row r="106" spans="2:33" ht="17.25" customHeight="1">
      <c r="B106" s="50"/>
      <c r="C106" s="1831"/>
      <c r="D106" s="695" t="s">
        <v>35</v>
      </c>
      <c r="E106" s="186">
        <v>11.5</v>
      </c>
      <c r="F106" s="187">
        <v>20.5</v>
      </c>
      <c r="G106" s="188">
        <v>1</v>
      </c>
      <c r="H106" s="424"/>
      <c r="I106" s="198"/>
      <c r="J106" s="431"/>
      <c r="K106" s="186">
        <v>10.5</v>
      </c>
      <c r="L106" s="187">
        <v>20.5</v>
      </c>
      <c r="M106" s="188">
        <v>1</v>
      </c>
      <c r="N106" s="186">
        <v>10.5</v>
      </c>
      <c r="O106" s="187">
        <v>20.5</v>
      </c>
      <c r="P106" s="188">
        <v>1</v>
      </c>
      <c r="Q106" s="635">
        <v>7</v>
      </c>
      <c r="R106" s="636">
        <v>17</v>
      </c>
      <c r="S106" s="651">
        <v>1</v>
      </c>
      <c r="T106" s="635">
        <v>7</v>
      </c>
      <c r="U106" s="636">
        <v>17</v>
      </c>
      <c r="V106" s="651">
        <v>1</v>
      </c>
      <c r="W106" s="173"/>
      <c r="X106" s="174"/>
      <c r="Y106" s="360"/>
      <c r="Z106" s="297">
        <f t="shared" si="20"/>
        <v>44</v>
      </c>
      <c r="AA106" s="457"/>
      <c r="AB106" s="6"/>
      <c r="AC106" s="24"/>
      <c r="AD106" s="17"/>
      <c r="AE106" s="17"/>
      <c r="AF106" s="17"/>
      <c r="AG106" s="17"/>
    </row>
    <row r="107" spans="2:33" ht="18.75" customHeight="1">
      <c r="B107" s="50"/>
      <c r="C107" s="1831"/>
      <c r="D107" s="695" t="s">
        <v>87</v>
      </c>
      <c r="E107" s="186">
        <v>10.5</v>
      </c>
      <c r="F107" s="187">
        <v>20.5</v>
      </c>
      <c r="G107" s="188">
        <v>1</v>
      </c>
      <c r="H107" s="186">
        <v>11.5</v>
      </c>
      <c r="I107" s="187">
        <v>20.5</v>
      </c>
      <c r="J107" s="188">
        <v>1</v>
      </c>
      <c r="K107" s="424"/>
      <c r="L107" s="198"/>
      <c r="M107" s="431"/>
      <c r="N107" s="850">
        <v>10.5</v>
      </c>
      <c r="O107" s="851">
        <v>20.5</v>
      </c>
      <c r="P107" s="1019">
        <v>1</v>
      </c>
      <c r="Q107" s="424"/>
      <c r="R107" s="198"/>
      <c r="S107" s="431"/>
      <c r="T107" s="950">
        <v>13</v>
      </c>
      <c r="U107" s="841">
        <v>23</v>
      </c>
      <c r="V107" s="951">
        <v>1</v>
      </c>
      <c r="W107" s="853">
        <v>8</v>
      </c>
      <c r="X107" s="854">
        <v>18</v>
      </c>
      <c r="Y107" s="855">
        <v>1</v>
      </c>
      <c r="Z107" s="297">
        <f t="shared" si="20"/>
        <v>44</v>
      </c>
      <c r="AA107" s="457"/>
      <c r="AB107" s="6"/>
      <c r="AC107" s="24"/>
      <c r="AD107" s="17"/>
      <c r="AE107" s="17"/>
      <c r="AF107" s="17"/>
      <c r="AG107" s="17"/>
    </row>
    <row r="108" spans="2:33" ht="17.25" customHeight="1">
      <c r="B108" s="50"/>
      <c r="C108" s="1831"/>
      <c r="D108" s="932" t="s">
        <v>104</v>
      </c>
      <c r="E108" s="939">
        <v>7</v>
      </c>
      <c r="F108" s="940">
        <v>17</v>
      </c>
      <c r="G108" s="974">
        <v>1</v>
      </c>
      <c r="H108" s="193"/>
      <c r="I108" s="194"/>
      <c r="J108" s="195"/>
      <c r="K108" s="407">
        <v>10.5</v>
      </c>
      <c r="L108" s="196">
        <v>20.5</v>
      </c>
      <c r="M108" s="408">
        <v>1</v>
      </c>
      <c r="N108" s="407">
        <v>11.5</v>
      </c>
      <c r="O108" s="196">
        <v>20.5</v>
      </c>
      <c r="P108" s="408">
        <v>1</v>
      </c>
      <c r="Q108" s="407">
        <v>10.5</v>
      </c>
      <c r="R108" s="196">
        <v>20.5</v>
      </c>
      <c r="S108" s="408">
        <v>1</v>
      </c>
      <c r="T108" s="407">
        <v>10</v>
      </c>
      <c r="U108" s="196">
        <v>20</v>
      </c>
      <c r="V108" s="408">
        <v>1</v>
      </c>
      <c r="W108" s="211"/>
      <c r="X108" s="212"/>
      <c r="Y108" s="213"/>
      <c r="Z108" s="297">
        <f t="shared" si="20"/>
        <v>44</v>
      </c>
      <c r="AA108" s="457"/>
      <c r="AB108" s="6"/>
      <c r="AC108" s="24"/>
      <c r="AD108" s="17"/>
      <c r="AE108" s="17"/>
      <c r="AF108" s="17"/>
      <c r="AG108" s="17"/>
    </row>
    <row r="109" spans="2:33">
      <c r="B109" s="50"/>
      <c r="C109" s="1825" t="s">
        <v>116</v>
      </c>
      <c r="D109" s="1043" t="s">
        <v>32</v>
      </c>
      <c r="E109" s="632"/>
      <c r="F109" s="633"/>
      <c r="G109" s="862"/>
      <c r="H109" s="586"/>
      <c r="I109" s="570"/>
      <c r="J109" s="592"/>
      <c r="K109" s="586"/>
      <c r="L109" s="570"/>
      <c r="M109" s="592"/>
      <c r="N109" s="292"/>
      <c r="O109" s="293"/>
      <c r="P109" s="294"/>
      <c r="Q109" s="586"/>
      <c r="R109" s="570"/>
      <c r="S109" s="592"/>
      <c r="T109" s="934">
        <v>14</v>
      </c>
      <c r="U109" s="933">
        <v>23</v>
      </c>
      <c r="V109" s="935">
        <v>1</v>
      </c>
      <c r="W109" s="244">
        <v>11</v>
      </c>
      <c r="X109" s="237">
        <v>20</v>
      </c>
      <c r="Y109" s="245">
        <v>1</v>
      </c>
      <c r="Z109" s="524">
        <f t="shared" si="20"/>
        <v>16</v>
      </c>
      <c r="AA109" s="529"/>
      <c r="AB109" s="5"/>
      <c r="AC109" s="17"/>
      <c r="AD109" s="17"/>
      <c r="AE109" s="17"/>
      <c r="AF109" s="17"/>
      <c r="AG109" s="17"/>
    </row>
    <row r="110" spans="2:33">
      <c r="B110" s="50"/>
      <c r="C110" s="1765"/>
      <c r="D110" s="580" t="s">
        <v>114</v>
      </c>
      <c r="E110" s="424"/>
      <c r="F110" s="198"/>
      <c r="G110" s="431"/>
      <c r="H110" s="850"/>
      <c r="I110" s="851"/>
      <c r="J110" s="1019"/>
      <c r="K110" s="186"/>
      <c r="L110" s="187"/>
      <c r="M110" s="188"/>
      <c r="N110" s="424"/>
      <c r="O110" s="198"/>
      <c r="P110" s="431"/>
      <c r="Q110" s="424"/>
      <c r="R110" s="198"/>
      <c r="S110" s="431"/>
      <c r="T110" s="635">
        <v>7</v>
      </c>
      <c r="U110" s="636">
        <v>16</v>
      </c>
      <c r="V110" s="651">
        <v>1</v>
      </c>
      <c r="W110" s="853">
        <v>8</v>
      </c>
      <c r="X110" s="854">
        <v>17</v>
      </c>
      <c r="Y110" s="855">
        <v>1</v>
      </c>
      <c r="Z110" s="297">
        <f t="shared" si="20"/>
        <v>16</v>
      </c>
      <c r="AA110" s="457"/>
      <c r="AB110" s="6"/>
      <c r="AC110" s="17"/>
      <c r="AD110" s="17"/>
      <c r="AE110" s="17"/>
      <c r="AF110" s="17"/>
      <c r="AG110" s="17"/>
    </row>
    <row r="111" spans="2:33" ht="15" customHeight="1">
      <c r="B111" s="50"/>
      <c r="C111" s="1765"/>
      <c r="D111" s="580" t="s">
        <v>89</v>
      </c>
      <c r="E111" s="186"/>
      <c r="F111" s="187"/>
      <c r="G111" s="188"/>
      <c r="H111" s="1039"/>
      <c r="I111" s="1040"/>
      <c r="J111" s="1041"/>
      <c r="K111" s="424"/>
      <c r="L111" s="198"/>
      <c r="M111" s="431"/>
      <c r="N111" s="424"/>
      <c r="O111" s="198"/>
      <c r="P111" s="431"/>
      <c r="Q111" s="186"/>
      <c r="R111" s="187"/>
      <c r="S111" s="188"/>
      <c r="T111" s="186">
        <v>15.5</v>
      </c>
      <c r="U111" s="187">
        <v>20.5</v>
      </c>
      <c r="V111" s="188">
        <v>1</v>
      </c>
      <c r="W111" s="79">
        <v>13</v>
      </c>
      <c r="X111" s="80">
        <v>20</v>
      </c>
      <c r="Y111" s="247">
        <v>1</v>
      </c>
      <c r="Z111" s="297">
        <f t="shared" si="20"/>
        <v>10</v>
      </c>
      <c r="AA111" s="457"/>
      <c r="AB111" s="6"/>
      <c r="AC111" s="17"/>
      <c r="AD111" s="17"/>
      <c r="AE111" s="17"/>
      <c r="AF111" s="17"/>
      <c r="AG111" s="17"/>
    </row>
    <row r="112" spans="2:33">
      <c r="B112" s="50"/>
      <c r="C112" s="1765"/>
      <c r="D112" s="580" t="s">
        <v>38</v>
      </c>
      <c r="E112" s="424"/>
      <c r="F112" s="198"/>
      <c r="G112" s="431"/>
      <c r="H112" s="424"/>
      <c r="I112" s="198"/>
      <c r="J112" s="431"/>
      <c r="K112" s="186"/>
      <c r="L112" s="187"/>
      <c r="M112" s="188"/>
      <c r="N112" s="635"/>
      <c r="O112" s="636"/>
      <c r="P112" s="651"/>
      <c r="Q112" s="186"/>
      <c r="R112" s="187"/>
      <c r="S112" s="188"/>
      <c r="T112" s="186"/>
      <c r="U112" s="187"/>
      <c r="V112" s="188"/>
      <c r="W112" s="79">
        <v>12</v>
      </c>
      <c r="X112" s="80">
        <v>20</v>
      </c>
      <c r="Y112" s="247">
        <v>1</v>
      </c>
      <c r="Z112" s="297">
        <f t="shared" si="20"/>
        <v>7</v>
      </c>
      <c r="AA112" s="457"/>
      <c r="AB112" s="6"/>
      <c r="AC112" s="17"/>
      <c r="AD112" s="17"/>
      <c r="AE112" s="17"/>
      <c r="AF112" s="17"/>
      <c r="AG112" s="17"/>
    </row>
    <row r="113" spans="2:33">
      <c r="B113" s="50"/>
      <c r="C113" s="1765"/>
      <c r="D113" s="580" t="s">
        <v>56</v>
      </c>
      <c r="E113" s="987"/>
      <c r="F113" s="988"/>
      <c r="G113" s="989"/>
      <c r="H113" s="987"/>
      <c r="I113" s="988"/>
      <c r="J113" s="989"/>
      <c r="K113" s="186"/>
      <c r="L113" s="187"/>
      <c r="M113" s="188"/>
      <c r="N113" s="635"/>
      <c r="O113" s="636"/>
      <c r="P113" s="651"/>
      <c r="Q113" s="424"/>
      <c r="R113" s="198"/>
      <c r="S113" s="431"/>
      <c r="T113" s="186">
        <v>14.5</v>
      </c>
      <c r="U113" s="187">
        <v>20.5</v>
      </c>
      <c r="V113" s="188">
        <v>1</v>
      </c>
      <c r="W113" s="79">
        <v>12</v>
      </c>
      <c r="X113" s="80">
        <v>20</v>
      </c>
      <c r="Y113" s="247">
        <v>1</v>
      </c>
      <c r="Z113" s="297">
        <f t="shared" si="20"/>
        <v>12</v>
      </c>
      <c r="AA113" s="458"/>
      <c r="AB113" s="14"/>
      <c r="AC113" s="17"/>
      <c r="AD113" s="17"/>
      <c r="AE113" s="17"/>
      <c r="AF113" s="17"/>
      <c r="AG113" s="17"/>
    </row>
    <row r="114" spans="2:33">
      <c r="B114" s="50"/>
      <c r="C114" s="1765"/>
      <c r="D114" s="580" t="s">
        <v>36</v>
      </c>
      <c r="E114" s="186"/>
      <c r="F114" s="187"/>
      <c r="G114" s="188"/>
      <c r="H114" s="186"/>
      <c r="I114" s="187"/>
      <c r="J114" s="188"/>
      <c r="K114" s="186"/>
      <c r="L114" s="187"/>
      <c r="M114" s="188"/>
      <c r="N114" s="225"/>
      <c r="O114" s="226"/>
      <c r="P114" s="248"/>
      <c r="Q114" s="262"/>
      <c r="R114" s="171"/>
      <c r="S114" s="172"/>
      <c r="T114" s="635">
        <v>7</v>
      </c>
      <c r="U114" s="636">
        <v>15</v>
      </c>
      <c r="V114" s="651">
        <v>1</v>
      </c>
      <c r="W114" s="79">
        <v>13</v>
      </c>
      <c r="X114" s="80">
        <v>20</v>
      </c>
      <c r="Y114" s="247">
        <v>1</v>
      </c>
      <c r="Z114" s="297">
        <f t="shared" si="20"/>
        <v>13</v>
      </c>
      <c r="AA114" s="457"/>
      <c r="AB114" s="6"/>
      <c r="AC114" s="17"/>
      <c r="AD114" s="17"/>
      <c r="AE114" s="17"/>
      <c r="AF114" s="17"/>
      <c r="AG114" s="17"/>
    </row>
    <row r="115" spans="2:33">
      <c r="B115" s="50"/>
      <c r="C115" s="1765"/>
      <c r="D115" s="580" t="s">
        <v>117</v>
      </c>
      <c r="E115" s="407"/>
      <c r="F115" s="196"/>
      <c r="G115" s="408"/>
      <c r="H115" s="193"/>
      <c r="I115" s="194"/>
      <c r="J115" s="195"/>
      <c r="K115" s="939"/>
      <c r="L115" s="940"/>
      <c r="M115" s="974"/>
      <c r="N115" s="193"/>
      <c r="O115" s="194"/>
      <c r="P115" s="195"/>
      <c r="Q115" s="407"/>
      <c r="R115" s="196"/>
      <c r="S115" s="408"/>
      <c r="T115" s="407">
        <v>13.5</v>
      </c>
      <c r="U115" s="196">
        <v>20.5</v>
      </c>
      <c r="V115" s="408">
        <v>1</v>
      </c>
      <c r="W115" s="91">
        <v>12</v>
      </c>
      <c r="X115" s="92">
        <v>20</v>
      </c>
      <c r="Y115" s="118">
        <v>1</v>
      </c>
      <c r="Z115" s="297">
        <f t="shared" si="20"/>
        <v>13</v>
      </c>
      <c r="AA115" s="457"/>
      <c r="AB115" s="6"/>
      <c r="AC115" s="17"/>
      <c r="AD115" s="17"/>
      <c r="AE115" s="17"/>
      <c r="AF115" s="17"/>
      <c r="AG115" s="17"/>
    </row>
    <row r="116" spans="2:33">
      <c r="B116" s="50"/>
      <c r="C116" s="1766"/>
      <c r="D116" s="581" t="s">
        <v>155</v>
      </c>
      <c r="E116" s="936"/>
      <c r="F116" s="937"/>
      <c r="G116" s="938"/>
      <c r="H116" s="606"/>
      <c r="I116" s="607"/>
      <c r="J116" s="905"/>
      <c r="K116" s="606"/>
      <c r="L116" s="607"/>
      <c r="M116" s="905"/>
      <c r="N116" s="1044"/>
      <c r="O116" s="1045"/>
      <c r="P116" s="1046"/>
      <c r="Q116" s="936"/>
      <c r="R116" s="937"/>
      <c r="S116" s="938"/>
      <c r="T116" s="606">
        <v>13.5</v>
      </c>
      <c r="U116" s="607">
        <v>20.5</v>
      </c>
      <c r="V116" s="905">
        <v>1</v>
      </c>
      <c r="W116" s="91">
        <v>12</v>
      </c>
      <c r="X116" s="92">
        <v>20</v>
      </c>
      <c r="Y116" s="118">
        <v>1</v>
      </c>
      <c r="Z116" s="298">
        <f t="shared" si="20"/>
        <v>13</v>
      </c>
      <c r="AA116" s="500">
        <v>8</v>
      </c>
      <c r="AB116" s="369"/>
      <c r="AC116" s="17"/>
      <c r="AD116" s="17"/>
      <c r="AE116" s="17"/>
      <c r="AF116" s="17"/>
      <c r="AG116" s="17"/>
    </row>
    <row r="117" spans="2:33">
      <c r="B117" s="50"/>
      <c r="C117" s="32"/>
      <c r="D117" s="295"/>
      <c r="E117" s="1828">
        <f>COUNT(E94:E116)</f>
        <v>10</v>
      </c>
      <c r="F117" s="1829"/>
      <c r="G117" s="1829"/>
      <c r="H117" s="1828">
        <f t="shared" ref="H117" si="21">COUNT(H94:H116)</f>
        <v>9</v>
      </c>
      <c r="I117" s="1829"/>
      <c r="J117" s="1829"/>
      <c r="K117" s="1828">
        <f t="shared" ref="K117" si="22">COUNT(K94:K116)</f>
        <v>10</v>
      </c>
      <c r="L117" s="1829"/>
      <c r="M117" s="1829"/>
      <c r="N117" s="1828">
        <f t="shared" ref="N117" si="23">COUNT(N94:N116)</f>
        <v>10</v>
      </c>
      <c r="O117" s="1829"/>
      <c r="P117" s="1829"/>
      <c r="Q117" s="1828">
        <f t="shared" ref="Q117" si="24">COUNT(Q94:Q116)</f>
        <v>11</v>
      </c>
      <c r="R117" s="1829"/>
      <c r="S117" s="1829"/>
      <c r="T117" s="1828">
        <f t="shared" ref="T117" si="25">COUNT(T94:T116)</f>
        <v>20</v>
      </c>
      <c r="U117" s="1829"/>
      <c r="V117" s="1829"/>
      <c r="W117" s="1836">
        <f t="shared" ref="W117" si="26">COUNT(W94:W116)</f>
        <v>15</v>
      </c>
      <c r="X117" s="1837"/>
      <c r="Y117" s="1838"/>
      <c r="Z117" s="23"/>
      <c r="AA117" s="23"/>
      <c r="AB117" s="17"/>
      <c r="AC117" s="17"/>
      <c r="AD117" s="17"/>
      <c r="AE117" s="17"/>
      <c r="AF117" s="17"/>
      <c r="AG117" s="17"/>
    </row>
    <row r="118" spans="2:33" ht="15" customHeight="1" thickBot="1">
      <c r="B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AC118" s="17"/>
      <c r="AD118" s="17"/>
      <c r="AE118" s="17"/>
      <c r="AF118" s="17"/>
      <c r="AG118" s="17"/>
    </row>
    <row r="119" spans="2:33" ht="15" customHeight="1">
      <c r="B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2056"/>
      <c r="R119" s="2057"/>
      <c r="S119" s="2058"/>
      <c r="T119" s="50"/>
      <c r="U119" s="50"/>
      <c r="V119" s="50"/>
      <c r="W119" s="50"/>
      <c r="X119" s="50"/>
      <c r="Y119" s="50"/>
      <c r="AC119" s="17"/>
      <c r="AD119" s="17"/>
      <c r="AE119" s="17"/>
      <c r="AF119" s="17"/>
      <c r="AG119" s="17"/>
    </row>
    <row r="120" spans="2:33" ht="15" customHeight="1">
      <c r="B120" s="50"/>
      <c r="E120" s="50"/>
      <c r="F120" s="50"/>
      <c r="G120" s="50"/>
      <c r="H120" s="50"/>
      <c r="I120" s="50"/>
      <c r="J120" s="50"/>
      <c r="K120" s="50"/>
      <c r="L120" s="50"/>
      <c r="M120" s="50"/>
      <c r="N120" s="1944" t="s">
        <v>156</v>
      </c>
      <c r="O120" s="1945"/>
      <c r="P120" s="1946"/>
      <c r="Q120" s="2054" t="s">
        <v>157</v>
      </c>
      <c r="R120" s="2054"/>
      <c r="S120" s="2055"/>
      <c r="T120" s="50"/>
      <c r="U120" s="50"/>
      <c r="V120" s="50"/>
      <c r="W120" s="50"/>
      <c r="X120" s="50"/>
      <c r="Y120" s="50"/>
      <c r="AC120" s="17"/>
      <c r="AD120" s="17"/>
      <c r="AE120" s="17"/>
      <c r="AF120" s="17"/>
      <c r="AG120" s="17"/>
    </row>
    <row r="121" spans="2:33" ht="15" customHeight="1">
      <c r="B121" s="50"/>
      <c r="C121" s="1817" t="s">
        <v>119</v>
      </c>
      <c r="D121" s="1817"/>
      <c r="E121" s="2008"/>
      <c r="F121" s="2009"/>
      <c r="G121" s="2009"/>
      <c r="H121" s="1954" t="s">
        <v>158</v>
      </c>
      <c r="I121" s="1955"/>
      <c r="J121" s="1955"/>
      <c r="K121" s="1954" t="s">
        <v>159</v>
      </c>
      <c r="L121" s="1955"/>
      <c r="M121" s="1955"/>
      <c r="N121" s="2050" t="s">
        <v>94</v>
      </c>
      <c r="O121" s="2014"/>
      <c r="P121" s="2014"/>
      <c r="Q121" s="2051" t="s">
        <v>160</v>
      </c>
      <c r="R121" s="2052"/>
      <c r="S121" s="2053"/>
      <c r="T121" s="1875"/>
      <c r="U121" s="1875"/>
      <c r="V121" s="1875"/>
      <c r="W121" s="1874"/>
      <c r="X121" s="1875"/>
      <c r="Y121" s="1876"/>
      <c r="Z121" s="50"/>
      <c r="AB121" s="47"/>
      <c r="AC121" s="17"/>
      <c r="AD121" s="17"/>
      <c r="AE121" s="17"/>
      <c r="AF121" s="17"/>
      <c r="AG121" s="17"/>
    </row>
    <row r="122" spans="2:33" ht="14.4">
      <c r="B122" s="50"/>
      <c r="C122" s="1818"/>
      <c r="D122" s="1818"/>
      <c r="E122" s="2042"/>
      <c r="F122" s="2043"/>
      <c r="G122" s="2043"/>
      <c r="H122" s="1977"/>
      <c r="I122" s="1976"/>
      <c r="J122" s="1976"/>
      <c r="K122" s="1977"/>
      <c r="L122" s="1976"/>
      <c r="M122" s="1976"/>
      <c r="N122" s="2051"/>
      <c r="O122" s="2052"/>
      <c r="P122" s="2052"/>
      <c r="Q122" s="1957" t="s">
        <v>161</v>
      </c>
      <c r="R122" s="1958"/>
      <c r="S122" s="1959"/>
      <c r="T122" s="1963"/>
      <c r="U122" s="1963"/>
      <c r="V122" s="1963"/>
      <c r="W122" s="1962"/>
      <c r="X122" s="1963"/>
      <c r="Y122" s="1968"/>
      <c r="Z122" s="17"/>
      <c r="AA122" s="17"/>
      <c r="AB122" s="17"/>
      <c r="AC122" s="17"/>
      <c r="AD122" s="17"/>
      <c r="AE122" s="17"/>
      <c r="AF122" s="17"/>
      <c r="AG122" s="17"/>
    </row>
    <row r="123" spans="2:33">
      <c r="B123" s="50"/>
      <c r="C123" s="19" t="s">
        <v>1</v>
      </c>
      <c r="D123" s="19" t="s">
        <v>2</v>
      </c>
      <c r="E123" s="2035" t="s">
        <v>162</v>
      </c>
      <c r="F123" s="2036"/>
      <c r="G123" s="2036"/>
      <c r="H123" s="1913" t="s">
        <v>163</v>
      </c>
      <c r="I123" s="1950"/>
      <c r="J123" s="1950"/>
      <c r="K123" s="1913" t="s">
        <v>164</v>
      </c>
      <c r="L123" s="1950"/>
      <c r="M123" s="1950"/>
      <c r="N123" s="1931" t="s">
        <v>165</v>
      </c>
      <c r="O123" s="1932"/>
      <c r="P123" s="1932"/>
      <c r="Q123" s="1913" t="s">
        <v>166</v>
      </c>
      <c r="R123" s="1950"/>
      <c r="S123" s="1950"/>
      <c r="T123" s="1880" t="s">
        <v>167</v>
      </c>
      <c r="U123" s="1881"/>
      <c r="V123" s="1881"/>
      <c r="W123" s="1951" t="s">
        <v>168</v>
      </c>
      <c r="X123" s="1854"/>
      <c r="Y123" s="1854"/>
      <c r="Z123" s="19" t="s">
        <v>5</v>
      </c>
      <c r="AA123" s="18" t="s">
        <v>6</v>
      </c>
      <c r="AB123" s="20" t="s">
        <v>7</v>
      </c>
      <c r="AC123" s="17"/>
      <c r="AD123" s="17"/>
      <c r="AE123" s="17"/>
      <c r="AF123" s="17"/>
      <c r="AG123" s="17"/>
    </row>
    <row r="124" spans="2:33">
      <c r="B124" s="50"/>
      <c r="C124" s="1952" t="s">
        <v>8</v>
      </c>
      <c r="D124" s="925" t="s">
        <v>9</v>
      </c>
      <c r="E124" s="648">
        <v>6</v>
      </c>
      <c r="F124" s="649">
        <v>16</v>
      </c>
      <c r="G124" s="650">
        <v>1</v>
      </c>
      <c r="H124" s="590"/>
      <c r="I124" s="572"/>
      <c r="J124" s="914"/>
      <c r="K124" s="590"/>
      <c r="L124" s="572"/>
      <c r="M124" s="914"/>
      <c r="N124" s="1082">
        <v>8</v>
      </c>
      <c r="O124" s="1083">
        <v>18</v>
      </c>
      <c r="P124" s="1084">
        <v>1</v>
      </c>
      <c r="Q124" s="648">
        <v>7</v>
      </c>
      <c r="R124" s="649">
        <v>16</v>
      </c>
      <c r="S124" s="650">
        <v>1</v>
      </c>
      <c r="T124" s="907">
        <v>10.5</v>
      </c>
      <c r="U124" s="571">
        <v>20.5</v>
      </c>
      <c r="V124" s="587">
        <v>1</v>
      </c>
      <c r="W124" s="460">
        <v>10</v>
      </c>
      <c r="X124" s="461">
        <v>20</v>
      </c>
      <c r="Y124" s="505">
        <v>1</v>
      </c>
      <c r="Z124" s="19">
        <f>SUM(F124-E124-G124+I124-H124-J124+L124-K124-M124+O124-N124-P124+R124-Q124-S124+U124-T124-V124+X124-W124-Y124)</f>
        <v>44</v>
      </c>
      <c r="AA124" s="18"/>
      <c r="AB124" s="826"/>
      <c r="AC124" s="17"/>
      <c r="AD124" s="17"/>
      <c r="AE124" s="17"/>
      <c r="AF124" s="17"/>
      <c r="AG124" s="17"/>
    </row>
    <row r="125" spans="2:33">
      <c r="B125" s="50"/>
      <c r="C125" s="1953"/>
      <c r="D125" s="1031" t="s">
        <v>154</v>
      </c>
      <c r="E125" s="648">
        <v>7</v>
      </c>
      <c r="F125" s="649">
        <v>16</v>
      </c>
      <c r="G125" s="650">
        <v>1</v>
      </c>
      <c r="H125" s="590"/>
      <c r="I125" s="572"/>
      <c r="J125" s="914"/>
      <c r="K125" s="907">
        <v>10.5</v>
      </c>
      <c r="L125" s="571">
        <v>20.5</v>
      </c>
      <c r="M125" s="587">
        <v>1</v>
      </c>
      <c r="N125" s="907">
        <v>10.5</v>
      </c>
      <c r="O125" s="571">
        <v>20.5</v>
      </c>
      <c r="P125" s="587">
        <v>1</v>
      </c>
      <c r="Q125" s="648">
        <v>7</v>
      </c>
      <c r="R125" s="649">
        <v>17</v>
      </c>
      <c r="S125" s="650">
        <v>1</v>
      </c>
      <c r="T125" s="907">
        <v>10.5</v>
      </c>
      <c r="U125" s="571">
        <v>20.5</v>
      </c>
      <c r="V125" s="587">
        <v>1</v>
      </c>
      <c r="W125" s="1056"/>
      <c r="X125" s="1057"/>
      <c r="Y125" s="1058"/>
      <c r="Z125" s="19">
        <f>SUM(F125-E125-G125+I125-H125-J125+L125-K125-M125+O125-N125-P125+R125-Q125-S125+U125-T125-V125+X125-W125-Y125)</f>
        <v>44</v>
      </c>
      <c r="AA125" s="18"/>
      <c r="AB125" s="826"/>
      <c r="AC125" s="17"/>
      <c r="AD125" s="17"/>
      <c r="AE125" s="17"/>
      <c r="AF125" s="17"/>
      <c r="AG125" s="17"/>
    </row>
    <row r="126" spans="2:33">
      <c r="B126" s="50"/>
      <c r="C126" s="2004" t="s">
        <v>11</v>
      </c>
      <c r="D126" s="204" t="s">
        <v>51</v>
      </c>
      <c r="E126" s="292">
        <v>11.5</v>
      </c>
      <c r="F126" s="293">
        <v>20.5</v>
      </c>
      <c r="G126" s="294">
        <v>1</v>
      </c>
      <c r="H126" s="586"/>
      <c r="I126" s="570"/>
      <c r="J126" s="592"/>
      <c r="K126" s="292">
        <v>10.5</v>
      </c>
      <c r="L126" s="293">
        <v>20.5</v>
      </c>
      <c r="M126" s="294">
        <v>1</v>
      </c>
      <c r="N126" s="292">
        <v>10.5</v>
      </c>
      <c r="O126" s="293">
        <v>20.5</v>
      </c>
      <c r="P126" s="294">
        <v>1</v>
      </c>
      <c r="Q126" s="292">
        <v>10.5</v>
      </c>
      <c r="R126" s="293">
        <v>20.5</v>
      </c>
      <c r="S126" s="294">
        <v>1</v>
      </c>
      <c r="T126" s="632">
        <v>7</v>
      </c>
      <c r="U126" s="633">
        <v>17</v>
      </c>
      <c r="V126" s="862">
        <v>1</v>
      </c>
      <c r="W126" s="682"/>
      <c r="X126" s="683"/>
      <c r="Y126" s="684"/>
      <c r="Z126" s="19">
        <f t="shared" ref="Z126:Z146" si="27">SUM(F126-E126-G126+I126-H126-J126+L126-K126-M126+O126-N126-P126+R126-Q126-S126+U126-T126-V126+X126-W126-Y126)</f>
        <v>44</v>
      </c>
      <c r="AA126" s="2"/>
      <c r="AB126" s="268"/>
      <c r="AC126" s="17"/>
      <c r="AD126" s="17"/>
      <c r="AE126" s="17"/>
      <c r="AF126" s="17"/>
      <c r="AG126" s="17"/>
    </row>
    <row r="127" spans="2:33">
      <c r="B127" s="50"/>
      <c r="C127" s="2005"/>
      <c r="D127" s="205" t="s">
        <v>14</v>
      </c>
      <c r="E127" s="193"/>
      <c r="F127" s="194"/>
      <c r="G127" s="195"/>
      <c r="H127" s="407">
        <v>10.5</v>
      </c>
      <c r="I127" s="196">
        <v>20.5</v>
      </c>
      <c r="J127" s="408">
        <v>1</v>
      </c>
      <c r="K127" s="939">
        <v>6</v>
      </c>
      <c r="L127" s="940">
        <v>16</v>
      </c>
      <c r="M127" s="974">
        <v>1</v>
      </c>
      <c r="N127" s="407">
        <v>11.5</v>
      </c>
      <c r="O127" s="196">
        <v>20.5</v>
      </c>
      <c r="P127" s="408">
        <v>1</v>
      </c>
      <c r="Q127" s="292">
        <v>10.5</v>
      </c>
      <c r="R127" s="293">
        <v>20.5</v>
      </c>
      <c r="S127" s="294">
        <v>1</v>
      </c>
      <c r="T127" s="407">
        <v>10.5</v>
      </c>
      <c r="U127" s="196">
        <v>20.5</v>
      </c>
      <c r="V127" s="408">
        <v>1</v>
      </c>
      <c r="W127" s="211"/>
      <c r="X127" s="212"/>
      <c r="Y127" s="213"/>
      <c r="Z127" s="19">
        <f t="shared" si="27"/>
        <v>44</v>
      </c>
      <c r="AA127" s="525"/>
      <c r="AB127" s="56"/>
      <c r="AC127" s="17"/>
      <c r="AD127" s="17"/>
      <c r="AE127" s="17"/>
      <c r="AF127" s="17"/>
      <c r="AG127" s="17"/>
    </row>
    <row r="128" spans="2:33">
      <c r="B128" s="50"/>
      <c r="C128" s="1952" t="s">
        <v>52</v>
      </c>
      <c r="D128" s="929" t="s">
        <v>19</v>
      </c>
      <c r="E128" s="586"/>
      <c r="F128" s="570"/>
      <c r="G128" s="592"/>
      <c r="H128" s="632">
        <v>6</v>
      </c>
      <c r="I128" s="633">
        <v>16</v>
      </c>
      <c r="J128" s="862">
        <v>1</v>
      </c>
      <c r="K128" s="586"/>
      <c r="L128" s="570"/>
      <c r="M128" s="592"/>
      <c r="N128" s="574">
        <v>11.5</v>
      </c>
      <c r="O128" s="575">
        <v>20.5</v>
      </c>
      <c r="P128" s="588">
        <v>1</v>
      </c>
      <c r="Q128" s="574">
        <v>10.5</v>
      </c>
      <c r="R128" s="575">
        <v>20.5</v>
      </c>
      <c r="S128" s="588">
        <v>1</v>
      </c>
      <c r="T128" s="292">
        <v>10.5</v>
      </c>
      <c r="U128" s="293">
        <v>20.5</v>
      </c>
      <c r="V128" s="294">
        <v>1</v>
      </c>
      <c r="W128" s="244">
        <v>10</v>
      </c>
      <c r="X128" s="237">
        <v>20</v>
      </c>
      <c r="Y128" s="245">
        <v>1</v>
      </c>
      <c r="Z128" s="19">
        <f t="shared" si="27"/>
        <v>44</v>
      </c>
      <c r="AA128" s="2"/>
      <c r="AB128" s="268"/>
      <c r="AC128" s="17"/>
      <c r="AD128" s="17"/>
      <c r="AE128" s="17"/>
      <c r="AF128" s="17"/>
      <c r="AG128" s="17"/>
    </row>
    <row r="129" spans="2:33">
      <c r="B129" s="50"/>
      <c r="C129" s="2006"/>
      <c r="D129" s="930" t="s">
        <v>21</v>
      </c>
      <c r="E129" s="186">
        <v>10.5</v>
      </c>
      <c r="F129" s="187">
        <v>20.5</v>
      </c>
      <c r="G129" s="188">
        <v>1</v>
      </c>
      <c r="H129" s="186">
        <v>11.5</v>
      </c>
      <c r="I129" s="187">
        <v>20.5</v>
      </c>
      <c r="J129" s="188">
        <v>1</v>
      </c>
      <c r="K129" s="635">
        <v>6</v>
      </c>
      <c r="L129" s="636">
        <v>16</v>
      </c>
      <c r="M129" s="651">
        <v>1</v>
      </c>
      <c r="N129" s="424"/>
      <c r="O129" s="198"/>
      <c r="P129" s="431"/>
      <c r="Q129" s="424"/>
      <c r="R129" s="198"/>
      <c r="S129" s="431"/>
      <c r="T129" s="186">
        <v>10.5</v>
      </c>
      <c r="U129" s="187">
        <v>20.5</v>
      </c>
      <c r="V129" s="188">
        <v>1</v>
      </c>
      <c r="W129" s="79">
        <v>10</v>
      </c>
      <c r="X129" s="80">
        <v>20</v>
      </c>
      <c r="Y129" s="247">
        <v>1</v>
      </c>
      <c r="Z129" s="19">
        <f t="shared" si="27"/>
        <v>44</v>
      </c>
      <c r="AA129" s="297"/>
      <c r="AB129" s="55"/>
      <c r="AC129" s="17"/>
      <c r="AD129" s="17"/>
      <c r="AE129" s="17"/>
      <c r="AF129" s="17"/>
      <c r="AG129" s="17"/>
    </row>
    <row r="130" spans="2:33">
      <c r="B130" s="50"/>
      <c r="C130" s="1953"/>
      <c r="D130" s="931" t="s">
        <v>53</v>
      </c>
      <c r="E130" s="407">
        <v>10.5</v>
      </c>
      <c r="F130" s="196">
        <v>20.5</v>
      </c>
      <c r="G130" s="408">
        <v>1</v>
      </c>
      <c r="H130" s="193"/>
      <c r="I130" s="194"/>
      <c r="J130" s="195"/>
      <c r="K130" s="407">
        <v>11.5</v>
      </c>
      <c r="L130" s="196">
        <v>20.5</v>
      </c>
      <c r="M130" s="408">
        <v>1</v>
      </c>
      <c r="N130" s="939">
        <v>7</v>
      </c>
      <c r="O130" s="940">
        <v>17</v>
      </c>
      <c r="P130" s="974">
        <v>1</v>
      </c>
      <c r="Q130" s="407">
        <v>10.5</v>
      </c>
      <c r="R130" s="196">
        <v>20.5</v>
      </c>
      <c r="S130" s="408">
        <v>1</v>
      </c>
      <c r="T130" s="407">
        <v>10.5</v>
      </c>
      <c r="U130" s="196">
        <v>20.5</v>
      </c>
      <c r="V130" s="408">
        <v>1</v>
      </c>
      <c r="W130" s="211"/>
      <c r="X130" s="212"/>
      <c r="Y130" s="213"/>
      <c r="Z130" s="19">
        <f t="shared" si="27"/>
        <v>44</v>
      </c>
      <c r="AA130" s="525"/>
      <c r="AB130" s="56"/>
      <c r="AC130" s="17"/>
      <c r="AD130" s="17"/>
      <c r="AE130" s="17"/>
      <c r="AF130" s="17"/>
      <c r="AG130" s="17"/>
    </row>
    <row r="131" spans="2:33">
      <c r="B131" s="50"/>
      <c r="C131" s="1831" t="s">
        <v>116</v>
      </c>
      <c r="D131" s="694" t="s">
        <v>25</v>
      </c>
      <c r="E131" s="1050"/>
      <c r="F131" s="1051"/>
      <c r="G131" s="1052"/>
      <c r="H131" s="292">
        <v>10.5</v>
      </c>
      <c r="I131" s="293">
        <v>20.5</v>
      </c>
      <c r="J131" s="294">
        <v>1</v>
      </c>
      <c r="K131" s="292">
        <v>10.5</v>
      </c>
      <c r="L131" s="293">
        <v>20.5</v>
      </c>
      <c r="M131" s="294">
        <v>1</v>
      </c>
      <c r="N131" s="292">
        <v>11.5</v>
      </c>
      <c r="O131" s="293">
        <v>20.5</v>
      </c>
      <c r="P131" s="294">
        <v>1</v>
      </c>
      <c r="Q131" s="632">
        <v>7</v>
      </c>
      <c r="R131" s="633">
        <v>17</v>
      </c>
      <c r="S131" s="634">
        <v>1</v>
      </c>
      <c r="T131" s="542">
        <v>10.5</v>
      </c>
      <c r="U131" s="293">
        <v>20.5</v>
      </c>
      <c r="V131" s="294">
        <v>1</v>
      </c>
      <c r="W131" s="682"/>
      <c r="X131" s="683"/>
      <c r="Y131" s="684"/>
      <c r="Z131" s="19">
        <f t="shared" si="27"/>
        <v>44</v>
      </c>
      <c r="AA131" s="2"/>
      <c r="AB131" s="268"/>
      <c r="AC131" s="17"/>
      <c r="AD131" s="17"/>
      <c r="AE131" s="17"/>
      <c r="AF131" s="17"/>
      <c r="AG131" s="17"/>
    </row>
    <row r="132" spans="2:33">
      <c r="B132" s="50"/>
      <c r="C132" s="1831"/>
      <c r="D132" s="695" t="s">
        <v>27</v>
      </c>
      <c r="E132" s="186">
        <v>10.5</v>
      </c>
      <c r="F132" s="187">
        <v>20.5</v>
      </c>
      <c r="G132" s="188">
        <v>1</v>
      </c>
      <c r="H132" s="994">
        <v>6</v>
      </c>
      <c r="I132" s="995">
        <v>16</v>
      </c>
      <c r="J132" s="996">
        <v>1</v>
      </c>
      <c r="K132" s="1053"/>
      <c r="L132" s="1054"/>
      <c r="M132" s="1055"/>
      <c r="N132" s="424"/>
      <c r="O132" s="198"/>
      <c r="P132" s="431"/>
      <c r="Q132" s="186">
        <v>11.5</v>
      </c>
      <c r="R132" s="187">
        <v>20.5</v>
      </c>
      <c r="S132" s="192">
        <v>1</v>
      </c>
      <c r="T132" s="191">
        <v>10.5</v>
      </c>
      <c r="U132" s="187">
        <v>20.5</v>
      </c>
      <c r="V132" s="188">
        <v>1</v>
      </c>
      <c r="W132" s="79">
        <v>8</v>
      </c>
      <c r="X132" s="80">
        <v>18</v>
      </c>
      <c r="Y132" s="247">
        <v>1</v>
      </c>
      <c r="Z132" s="19">
        <f t="shared" si="27"/>
        <v>44</v>
      </c>
      <c r="AA132" s="297"/>
      <c r="AB132" s="55"/>
      <c r="AC132" s="17"/>
      <c r="AD132" s="17"/>
      <c r="AE132" s="17"/>
      <c r="AF132" s="17"/>
      <c r="AG132" s="17"/>
    </row>
    <row r="133" spans="2:33">
      <c r="B133" s="50"/>
      <c r="C133" s="1831"/>
      <c r="D133" s="695" t="s">
        <v>28</v>
      </c>
      <c r="E133" s="424"/>
      <c r="F133" s="198"/>
      <c r="G133" s="431"/>
      <c r="H133" s="186">
        <v>11.5</v>
      </c>
      <c r="I133" s="187">
        <v>20.5</v>
      </c>
      <c r="J133" s="188">
        <v>1</v>
      </c>
      <c r="K133" s="424"/>
      <c r="L133" s="198"/>
      <c r="M133" s="431"/>
      <c r="N133" s="635">
        <v>7</v>
      </c>
      <c r="O133" s="636">
        <v>17</v>
      </c>
      <c r="P133" s="651">
        <v>1</v>
      </c>
      <c r="Q133" s="186">
        <v>10.5</v>
      </c>
      <c r="R133" s="187">
        <v>20.5</v>
      </c>
      <c r="S133" s="192">
        <v>1</v>
      </c>
      <c r="T133" s="191">
        <v>10.5</v>
      </c>
      <c r="U133" s="187">
        <v>20.5</v>
      </c>
      <c r="V133" s="188">
        <v>1</v>
      </c>
      <c r="W133" s="79">
        <v>10</v>
      </c>
      <c r="X133" s="80">
        <v>20</v>
      </c>
      <c r="Y133" s="247">
        <v>1</v>
      </c>
      <c r="Z133" s="19">
        <f t="shared" si="27"/>
        <v>44</v>
      </c>
      <c r="AA133" s="297"/>
      <c r="AB133" s="55"/>
      <c r="AC133" s="17"/>
      <c r="AD133" s="30"/>
      <c r="AE133" s="17"/>
      <c r="AF133" s="17"/>
      <c r="AG133" s="17"/>
    </row>
    <row r="134" spans="2:33">
      <c r="B134" s="50"/>
      <c r="C134" s="1831"/>
      <c r="D134" s="695" t="s">
        <v>31</v>
      </c>
      <c r="E134" s="424"/>
      <c r="F134" s="198"/>
      <c r="G134" s="431"/>
      <c r="H134" s="635">
        <v>7</v>
      </c>
      <c r="I134" s="636">
        <v>17</v>
      </c>
      <c r="J134" s="651">
        <v>1</v>
      </c>
      <c r="K134" s="186">
        <v>10.5</v>
      </c>
      <c r="L134" s="187">
        <v>20.5</v>
      </c>
      <c r="M134" s="188">
        <v>1</v>
      </c>
      <c r="N134" s="186">
        <v>10.5</v>
      </c>
      <c r="O134" s="187">
        <v>20.5</v>
      </c>
      <c r="P134" s="188">
        <v>1</v>
      </c>
      <c r="Q134" s="186">
        <v>10.5</v>
      </c>
      <c r="R134" s="187">
        <v>20.5</v>
      </c>
      <c r="S134" s="192">
        <v>1</v>
      </c>
      <c r="T134" s="191">
        <v>11.5</v>
      </c>
      <c r="U134" s="187">
        <v>20.5</v>
      </c>
      <c r="V134" s="188">
        <v>1</v>
      </c>
      <c r="W134" s="846"/>
      <c r="X134" s="828"/>
      <c r="Y134" s="872"/>
      <c r="Z134" s="19">
        <f t="shared" si="27"/>
        <v>44</v>
      </c>
      <c r="AA134" s="297"/>
      <c r="AB134" s="55"/>
      <c r="AC134" s="17"/>
      <c r="AD134" s="30"/>
      <c r="AE134" s="17"/>
      <c r="AF134" s="17"/>
      <c r="AG134" s="17"/>
    </row>
    <row r="135" spans="2:33">
      <c r="B135" s="50"/>
      <c r="C135" s="1831"/>
      <c r="D135" s="695" t="s">
        <v>55</v>
      </c>
      <c r="E135" s="186">
        <v>11.5</v>
      </c>
      <c r="F135" s="187">
        <v>20.5</v>
      </c>
      <c r="G135" s="188">
        <v>1</v>
      </c>
      <c r="H135" s="186">
        <v>10.5</v>
      </c>
      <c r="I135" s="187">
        <v>20.5</v>
      </c>
      <c r="J135" s="188">
        <v>1</v>
      </c>
      <c r="K135" s="186">
        <v>10.5</v>
      </c>
      <c r="L135" s="187">
        <v>20.5</v>
      </c>
      <c r="M135" s="188">
        <v>1</v>
      </c>
      <c r="N135" s="424"/>
      <c r="O135" s="198"/>
      <c r="P135" s="431"/>
      <c r="Q135" s="186">
        <v>10.5</v>
      </c>
      <c r="R135" s="187">
        <v>20.5</v>
      </c>
      <c r="S135" s="192">
        <v>1</v>
      </c>
      <c r="T135" s="997">
        <v>7</v>
      </c>
      <c r="U135" s="636">
        <v>17</v>
      </c>
      <c r="V135" s="651">
        <v>1</v>
      </c>
      <c r="W135" s="846"/>
      <c r="X135" s="828"/>
      <c r="Y135" s="872"/>
      <c r="Z135" s="19">
        <f t="shared" si="27"/>
        <v>44</v>
      </c>
      <c r="AA135" s="297"/>
      <c r="AB135" s="55"/>
      <c r="AC135" s="17"/>
      <c r="AD135" s="17"/>
      <c r="AE135" s="17"/>
      <c r="AF135" s="17"/>
      <c r="AG135" s="17"/>
    </row>
    <row r="136" spans="2:33" ht="15" customHeight="1">
      <c r="C136" s="1831"/>
      <c r="D136" s="695" t="s">
        <v>35</v>
      </c>
      <c r="E136" s="186">
        <v>10.5</v>
      </c>
      <c r="F136" s="187">
        <v>20.5</v>
      </c>
      <c r="G136" s="188">
        <v>1</v>
      </c>
      <c r="H136" s="186">
        <v>10.5</v>
      </c>
      <c r="I136" s="187">
        <v>20.5</v>
      </c>
      <c r="J136" s="188">
        <v>1</v>
      </c>
      <c r="K136" s="1067"/>
      <c r="L136" s="1068"/>
      <c r="M136" s="1069"/>
      <c r="N136" s="1067"/>
      <c r="O136" s="1068"/>
      <c r="P136" s="1069"/>
      <c r="Q136" s="1067"/>
      <c r="R136" s="1068"/>
      <c r="S136" s="1076"/>
      <c r="T136" s="1075"/>
      <c r="U136" s="1068"/>
      <c r="V136" s="1069"/>
      <c r="W136" s="1070"/>
      <c r="X136" s="1071"/>
      <c r="Y136" s="1072"/>
      <c r="Z136" s="19">
        <f t="shared" si="27"/>
        <v>18</v>
      </c>
      <c r="AA136" s="297"/>
      <c r="AB136" s="55"/>
      <c r="AC136" s="17"/>
      <c r="AD136" s="17"/>
      <c r="AE136" s="17"/>
      <c r="AF136" s="17"/>
      <c r="AG136" s="17"/>
    </row>
    <row r="137" spans="2:33">
      <c r="C137" s="1831"/>
      <c r="D137" s="695" t="s">
        <v>87</v>
      </c>
      <c r="E137" s="635">
        <v>6</v>
      </c>
      <c r="F137" s="636">
        <v>16</v>
      </c>
      <c r="G137" s="651">
        <v>1</v>
      </c>
      <c r="H137" s="186">
        <v>10.5</v>
      </c>
      <c r="I137" s="187">
        <v>20.5</v>
      </c>
      <c r="J137" s="188">
        <v>1</v>
      </c>
      <c r="K137" s="186">
        <v>10.5</v>
      </c>
      <c r="L137" s="187">
        <v>20.5</v>
      </c>
      <c r="M137" s="188">
        <v>1</v>
      </c>
      <c r="N137" s="424"/>
      <c r="O137" s="198"/>
      <c r="P137" s="431"/>
      <c r="Q137" s="424"/>
      <c r="R137" s="198"/>
      <c r="S137" s="426"/>
      <c r="T137" s="191">
        <v>11.5</v>
      </c>
      <c r="U137" s="187">
        <v>20.5</v>
      </c>
      <c r="V137" s="188">
        <v>1</v>
      </c>
      <c r="W137" s="79">
        <v>10</v>
      </c>
      <c r="X137" s="80">
        <v>20</v>
      </c>
      <c r="Y137" s="247">
        <v>1</v>
      </c>
      <c r="Z137" s="19">
        <f t="shared" si="27"/>
        <v>44</v>
      </c>
      <c r="AA137" s="297"/>
      <c r="AB137" s="55"/>
      <c r="AC137" s="17"/>
      <c r="AD137" s="17"/>
      <c r="AE137" s="17"/>
      <c r="AF137" s="17"/>
      <c r="AG137" s="17"/>
    </row>
    <row r="138" spans="2:33" ht="15" customHeight="1">
      <c r="C138" s="1831"/>
      <c r="D138" s="932" t="s">
        <v>104</v>
      </c>
      <c r="E138" s="407">
        <v>10.5</v>
      </c>
      <c r="F138" s="196">
        <v>20.5</v>
      </c>
      <c r="G138" s="408">
        <v>1</v>
      </c>
      <c r="H138" s="186">
        <v>11.5</v>
      </c>
      <c r="I138" s="187">
        <v>20.5</v>
      </c>
      <c r="J138" s="188">
        <v>1</v>
      </c>
      <c r="K138" s="1047"/>
      <c r="L138" s="1048"/>
      <c r="M138" s="1049"/>
      <c r="N138" s="1064"/>
      <c r="O138" s="1065"/>
      <c r="P138" s="1066"/>
      <c r="Q138" s="606">
        <v>10.5</v>
      </c>
      <c r="R138" s="607">
        <v>20.5</v>
      </c>
      <c r="S138" s="608">
        <v>1</v>
      </c>
      <c r="T138" s="191">
        <v>10.5</v>
      </c>
      <c r="U138" s="187">
        <v>20.5</v>
      </c>
      <c r="V138" s="188">
        <v>1</v>
      </c>
      <c r="W138" s="79">
        <v>8</v>
      </c>
      <c r="X138" s="80">
        <v>18</v>
      </c>
      <c r="Y138" s="247">
        <v>1</v>
      </c>
      <c r="Z138" s="19">
        <f t="shared" si="27"/>
        <v>44</v>
      </c>
      <c r="AA138" s="297"/>
      <c r="AB138" s="55"/>
      <c r="AC138" s="17"/>
      <c r="AD138" s="17"/>
      <c r="AE138" s="17"/>
      <c r="AF138" s="17"/>
      <c r="AG138" s="17"/>
    </row>
    <row r="139" spans="2:33">
      <c r="B139" s="50"/>
      <c r="C139" s="1830"/>
      <c r="D139" s="694" t="s">
        <v>32</v>
      </c>
      <c r="E139" s="837">
        <v>7</v>
      </c>
      <c r="F139" s="838">
        <v>12</v>
      </c>
      <c r="G139" s="839"/>
      <c r="H139" s="589"/>
      <c r="I139" s="570"/>
      <c r="J139" s="592"/>
      <c r="K139" s="586"/>
      <c r="L139" s="570"/>
      <c r="M139" s="592"/>
      <c r="N139" s="292">
        <v>15.5</v>
      </c>
      <c r="O139" s="293">
        <v>20.5</v>
      </c>
      <c r="P139" s="294"/>
      <c r="Q139" s="1085"/>
      <c r="R139" s="325"/>
      <c r="S139" s="372"/>
      <c r="T139" s="542">
        <v>13.5</v>
      </c>
      <c r="U139" s="293">
        <v>20.5</v>
      </c>
      <c r="V139" s="294">
        <v>1</v>
      </c>
      <c r="W139" s="244">
        <v>11</v>
      </c>
      <c r="X139" s="237">
        <v>20</v>
      </c>
      <c r="Y139" s="245">
        <v>1</v>
      </c>
      <c r="Z139" s="18">
        <f t="shared" si="27"/>
        <v>24</v>
      </c>
      <c r="AA139" s="734"/>
      <c r="AB139" s="54"/>
      <c r="AC139" s="17"/>
      <c r="AD139" s="17"/>
      <c r="AE139" s="17"/>
      <c r="AF139" s="17"/>
      <c r="AG139" s="17"/>
    </row>
    <row r="140" spans="2:33">
      <c r="B140" s="50"/>
      <c r="C140" s="1831"/>
      <c r="D140" s="695" t="s">
        <v>114</v>
      </c>
      <c r="E140" s="197"/>
      <c r="F140" s="198"/>
      <c r="G140" s="199"/>
      <c r="H140" s="997">
        <v>7</v>
      </c>
      <c r="I140" s="636">
        <v>12</v>
      </c>
      <c r="J140" s="651"/>
      <c r="K140" s="186">
        <v>15.5</v>
      </c>
      <c r="L140" s="187">
        <v>20.5</v>
      </c>
      <c r="M140" s="188"/>
      <c r="N140" s="186">
        <v>13.5</v>
      </c>
      <c r="O140" s="187">
        <v>20.5</v>
      </c>
      <c r="P140" s="188">
        <v>1</v>
      </c>
      <c r="Q140" s="424"/>
      <c r="R140" s="198"/>
      <c r="S140" s="426"/>
      <c r="T140" s="997">
        <v>7</v>
      </c>
      <c r="U140" s="636">
        <v>16</v>
      </c>
      <c r="V140" s="651">
        <v>1</v>
      </c>
      <c r="W140" s="79">
        <v>12</v>
      </c>
      <c r="X140" s="80">
        <v>20</v>
      </c>
      <c r="Y140" s="247">
        <v>1</v>
      </c>
      <c r="Z140" s="18">
        <f t="shared" si="27"/>
        <v>31</v>
      </c>
      <c r="AA140" s="735"/>
      <c r="AB140" s="55"/>
      <c r="AC140" s="17"/>
      <c r="AD140" s="17"/>
      <c r="AE140" s="17"/>
      <c r="AF140" s="17"/>
      <c r="AG140" s="17"/>
    </row>
    <row r="141" spans="2:33">
      <c r="B141" s="50"/>
      <c r="C141" s="1831"/>
      <c r="D141" s="695" t="s">
        <v>89</v>
      </c>
      <c r="E141" s="197"/>
      <c r="F141" s="198"/>
      <c r="G141" s="199"/>
      <c r="H141" s="425"/>
      <c r="I141" s="198"/>
      <c r="J141" s="431"/>
      <c r="K141" s="635">
        <v>7</v>
      </c>
      <c r="L141" s="636">
        <v>12</v>
      </c>
      <c r="M141" s="651"/>
      <c r="N141" s="424"/>
      <c r="O141" s="198"/>
      <c r="P141" s="431"/>
      <c r="Q141" s="186">
        <v>16.5</v>
      </c>
      <c r="R141" s="187">
        <v>20.5</v>
      </c>
      <c r="S141" s="192"/>
      <c r="T141" s="191">
        <v>14.5</v>
      </c>
      <c r="U141" s="187">
        <v>20.5</v>
      </c>
      <c r="V141" s="188">
        <v>1</v>
      </c>
      <c r="W141" s="79">
        <v>12</v>
      </c>
      <c r="X141" s="80">
        <v>20</v>
      </c>
      <c r="Y141" s="247">
        <v>1</v>
      </c>
      <c r="Z141" s="18">
        <f t="shared" si="27"/>
        <v>21</v>
      </c>
      <c r="AA141" s="735"/>
      <c r="AB141" s="55"/>
      <c r="AC141" s="17"/>
      <c r="AD141" s="17"/>
      <c r="AE141" s="17"/>
      <c r="AF141" s="17"/>
      <c r="AG141" s="17"/>
    </row>
    <row r="142" spans="2:33">
      <c r="B142" s="50"/>
      <c r="C142" s="1831"/>
      <c r="D142" s="695" t="s">
        <v>38</v>
      </c>
      <c r="E142" s="1060"/>
      <c r="F142" s="1048"/>
      <c r="G142" s="1061"/>
      <c r="H142" s="191">
        <v>12.5</v>
      </c>
      <c r="I142" s="187">
        <v>20.5</v>
      </c>
      <c r="J142" s="188">
        <v>1</v>
      </c>
      <c r="K142" s="186">
        <v>12.5</v>
      </c>
      <c r="L142" s="187">
        <v>20.5</v>
      </c>
      <c r="M142" s="188">
        <v>1</v>
      </c>
      <c r="N142" s="635">
        <v>7</v>
      </c>
      <c r="O142" s="636">
        <v>16</v>
      </c>
      <c r="P142" s="651">
        <v>1</v>
      </c>
      <c r="Q142" s="186">
        <v>12.5</v>
      </c>
      <c r="R142" s="187">
        <v>20.5</v>
      </c>
      <c r="S142" s="192">
        <v>1</v>
      </c>
      <c r="T142" s="191">
        <v>12.5</v>
      </c>
      <c r="U142" s="187">
        <v>20.5</v>
      </c>
      <c r="V142" s="188">
        <v>1</v>
      </c>
      <c r="W142" s="79">
        <v>11</v>
      </c>
      <c r="X142" s="80">
        <v>20</v>
      </c>
      <c r="Y142" s="247">
        <v>1</v>
      </c>
      <c r="Z142" s="18">
        <f t="shared" si="27"/>
        <v>44</v>
      </c>
      <c r="AA142" s="735"/>
      <c r="AB142" s="55"/>
      <c r="AC142" s="50"/>
    </row>
    <row r="143" spans="2:33">
      <c r="B143" s="50"/>
      <c r="C143" s="1831"/>
      <c r="D143" s="695"/>
      <c r="E143" s="1073"/>
      <c r="F143" s="1068"/>
      <c r="G143" s="1074"/>
      <c r="H143" s="1075"/>
      <c r="I143" s="1068"/>
      <c r="J143" s="1069"/>
      <c r="K143" s="1067"/>
      <c r="L143" s="1068"/>
      <c r="M143" s="1069"/>
      <c r="N143" s="1067"/>
      <c r="O143" s="1068"/>
      <c r="P143" s="1069"/>
      <c r="Q143" s="1067"/>
      <c r="R143" s="1068"/>
      <c r="S143" s="1076"/>
      <c r="T143" s="1075"/>
      <c r="U143" s="1068"/>
      <c r="V143" s="1069"/>
      <c r="W143" s="1070"/>
      <c r="X143" s="1071"/>
      <c r="Y143" s="1072"/>
      <c r="Z143" s="18"/>
      <c r="AA143" s="735"/>
      <c r="AB143" s="55"/>
      <c r="AC143" s="50"/>
    </row>
    <row r="144" spans="2:33">
      <c r="B144" s="50"/>
      <c r="C144" s="1831"/>
      <c r="D144" s="695" t="s">
        <v>36</v>
      </c>
      <c r="E144" s="189">
        <v>16.5</v>
      </c>
      <c r="F144" s="187">
        <v>20.5</v>
      </c>
      <c r="G144" s="190"/>
      <c r="H144" s="191">
        <v>16.5</v>
      </c>
      <c r="I144" s="187">
        <v>20.5</v>
      </c>
      <c r="J144" s="188"/>
      <c r="K144" s="186">
        <v>16.5</v>
      </c>
      <c r="L144" s="187">
        <v>20.5</v>
      </c>
      <c r="M144" s="188"/>
      <c r="N144" s="225"/>
      <c r="O144" s="226"/>
      <c r="P144" s="248"/>
      <c r="Q144" s="262"/>
      <c r="R144" s="171"/>
      <c r="S144" s="324"/>
      <c r="T144" s="997">
        <v>7</v>
      </c>
      <c r="U144" s="636">
        <v>14</v>
      </c>
      <c r="V144" s="651">
        <v>1</v>
      </c>
      <c r="W144" s="79">
        <v>11</v>
      </c>
      <c r="X144" s="80">
        <v>20</v>
      </c>
      <c r="Y144" s="247">
        <v>1</v>
      </c>
      <c r="Z144" s="18">
        <f t="shared" si="27"/>
        <v>26</v>
      </c>
      <c r="AA144" s="735"/>
      <c r="AB144" s="55"/>
      <c r="AC144" s="50"/>
    </row>
    <row r="145" spans="2:28">
      <c r="B145" s="50"/>
      <c r="C145" s="1831"/>
      <c r="D145" s="695" t="s">
        <v>169</v>
      </c>
      <c r="E145" s="1062">
        <v>16.5</v>
      </c>
      <c r="F145" s="607">
        <v>20.5</v>
      </c>
      <c r="G145" s="1063"/>
      <c r="H145" s="1059"/>
      <c r="I145" s="1048"/>
      <c r="J145" s="1049"/>
      <c r="K145" s="606">
        <v>16.5</v>
      </c>
      <c r="L145" s="607">
        <v>20.5</v>
      </c>
      <c r="M145" s="905"/>
      <c r="N145" s="186">
        <v>16.5</v>
      </c>
      <c r="O145" s="187">
        <v>20.5</v>
      </c>
      <c r="P145" s="188"/>
      <c r="Q145" s="1047"/>
      <c r="R145" s="1048"/>
      <c r="S145" s="1077"/>
      <c r="T145" s="1015">
        <v>7</v>
      </c>
      <c r="U145" s="848">
        <v>16</v>
      </c>
      <c r="V145" s="1016">
        <v>1</v>
      </c>
      <c r="W145" s="330">
        <v>8</v>
      </c>
      <c r="X145" s="331">
        <v>17</v>
      </c>
      <c r="Y145" s="332">
        <v>1</v>
      </c>
      <c r="Z145" s="1">
        <f t="shared" si="27"/>
        <v>28</v>
      </c>
      <c r="AA145" s="736"/>
      <c r="AB145" s="269"/>
    </row>
    <row r="146" spans="2:28">
      <c r="B146" s="50"/>
      <c r="C146" s="1832"/>
      <c r="D146" s="561" t="s">
        <v>117</v>
      </c>
      <c r="E146" s="830"/>
      <c r="F146" s="831"/>
      <c r="G146" s="832"/>
      <c r="H146" s="945"/>
      <c r="I146" s="937"/>
      <c r="J146" s="938"/>
      <c r="K146" s="847">
        <v>7</v>
      </c>
      <c r="L146" s="848">
        <v>12</v>
      </c>
      <c r="M146" s="1016"/>
      <c r="N146" s="606">
        <v>16.5</v>
      </c>
      <c r="O146" s="607">
        <v>20.5</v>
      </c>
      <c r="P146" s="905"/>
      <c r="Q146" s="847">
        <v>7</v>
      </c>
      <c r="R146" s="848">
        <v>12</v>
      </c>
      <c r="S146" s="849"/>
      <c r="T146" s="1078">
        <v>14.5</v>
      </c>
      <c r="U146" s="607">
        <v>20.5</v>
      </c>
      <c r="V146" s="905">
        <v>1</v>
      </c>
      <c r="W146" s="460">
        <v>12</v>
      </c>
      <c r="X146" s="461">
        <v>20</v>
      </c>
      <c r="Y146" s="505">
        <v>1</v>
      </c>
      <c r="Z146" s="1">
        <f t="shared" si="27"/>
        <v>26</v>
      </c>
      <c r="AA146" s="952"/>
      <c r="AB146" s="964"/>
    </row>
    <row r="147" spans="2:28">
      <c r="C147" s="32"/>
      <c r="D147" s="295"/>
      <c r="E147" s="1828">
        <f>COUNT(E124:E146)</f>
        <v>13</v>
      </c>
      <c r="F147" s="1829"/>
      <c r="G147" s="1829"/>
      <c r="H147" s="1828">
        <f t="shared" ref="H147" si="28">COUNT(H124:H146)</f>
        <v>14</v>
      </c>
      <c r="I147" s="1829"/>
      <c r="J147" s="1829"/>
      <c r="K147" s="1828">
        <f t="shared" ref="K147" si="29">COUNT(K124:K146)</f>
        <v>15</v>
      </c>
      <c r="L147" s="1829"/>
      <c r="M147" s="1829"/>
      <c r="N147" s="1828">
        <f t="shared" ref="N147" si="30">COUNT(N124:N146)</f>
        <v>14</v>
      </c>
      <c r="O147" s="1829"/>
      <c r="P147" s="1829"/>
      <c r="Q147" s="1828">
        <f t="shared" ref="Q147" si="31">COUNT(Q124:Q146)</f>
        <v>15</v>
      </c>
      <c r="R147" s="1829"/>
      <c r="S147" s="1829"/>
      <c r="T147" s="1828">
        <f t="shared" ref="T147" si="32">COUNT(T124:T146)</f>
        <v>21</v>
      </c>
      <c r="U147" s="1829"/>
      <c r="V147" s="1829"/>
      <c r="W147" s="1947">
        <f t="shared" ref="W147" si="33">COUNT(W124:W146)</f>
        <v>14</v>
      </c>
      <c r="X147" s="1948"/>
      <c r="Y147" s="1949"/>
      <c r="Z147" s="23"/>
      <c r="AA147" s="23"/>
      <c r="AB147" s="17"/>
    </row>
  </sheetData>
  <mergeCells count="148">
    <mergeCell ref="K93:M93"/>
    <mergeCell ref="N93:P93"/>
    <mergeCell ref="Q93:S93"/>
    <mergeCell ref="T93:V93"/>
    <mergeCell ref="W93:Y93"/>
    <mergeCell ref="E123:G123"/>
    <mergeCell ref="C126:C127"/>
    <mergeCell ref="C128:C130"/>
    <mergeCell ref="K117:M117"/>
    <mergeCell ref="N117:P117"/>
    <mergeCell ref="Q117:S117"/>
    <mergeCell ref="T117:V117"/>
    <mergeCell ref="W117:Y117"/>
    <mergeCell ref="C121:D122"/>
    <mergeCell ref="E121:G122"/>
    <mergeCell ref="H121:J122"/>
    <mergeCell ref="K121:M122"/>
    <mergeCell ref="N121:P122"/>
    <mergeCell ref="T121:V122"/>
    <mergeCell ref="Q121:S121"/>
    <mergeCell ref="Q122:S122"/>
    <mergeCell ref="W121:Y122"/>
    <mergeCell ref="Q120:S120"/>
    <mergeCell ref="Q119:S119"/>
    <mergeCell ref="C91:D92"/>
    <mergeCell ref="C96:C97"/>
    <mergeCell ref="C98:C100"/>
    <mergeCell ref="C101:C108"/>
    <mergeCell ref="E117:G117"/>
    <mergeCell ref="H117:J117"/>
    <mergeCell ref="E66:G66"/>
    <mergeCell ref="H66:J66"/>
    <mergeCell ref="C68:C69"/>
    <mergeCell ref="C70:C72"/>
    <mergeCell ref="C73:C80"/>
    <mergeCell ref="C81:C88"/>
    <mergeCell ref="C94:C95"/>
    <mergeCell ref="E93:G93"/>
    <mergeCell ref="H93:J93"/>
    <mergeCell ref="C109:C116"/>
    <mergeCell ref="K66:M66"/>
    <mergeCell ref="N66:P66"/>
    <mergeCell ref="Q66:S66"/>
    <mergeCell ref="T66:V66"/>
    <mergeCell ref="W66:Y66"/>
    <mergeCell ref="W89:Y89"/>
    <mergeCell ref="E91:G92"/>
    <mergeCell ref="H91:J92"/>
    <mergeCell ref="K91:M92"/>
    <mergeCell ref="N91:P92"/>
    <mergeCell ref="Q91:S92"/>
    <mergeCell ref="T91:V92"/>
    <mergeCell ref="W91:Y92"/>
    <mergeCell ref="E89:G89"/>
    <mergeCell ref="H89:J89"/>
    <mergeCell ref="K89:M89"/>
    <mergeCell ref="N89:P89"/>
    <mergeCell ref="Q89:S89"/>
    <mergeCell ref="T89:V89"/>
    <mergeCell ref="W36:Y36"/>
    <mergeCell ref="W34:Y35"/>
    <mergeCell ref="C38:C39"/>
    <mergeCell ref="Q59:S59"/>
    <mergeCell ref="T59:V59"/>
    <mergeCell ref="W59:Y59"/>
    <mergeCell ref="C40:C42"/>
    <mergeCell ref="C43:C50"/>
    <mergeCell ref="C63:D65"/>
    <mergeCell ref="E63:G65"/>
    <mergeCell ref="H63:J65"/>
    <mergeCell ref="Q63:S65"/>
    <mergeCell ref="T63:V65"/>
    <mergeCell ref="W63:Y65"/>
    <mergeCell ref="C51:C58"/>
    <mergeCell ref="H62:P62"/>
    <mergeCell ref="K63:M64"/>
    <mergeCell ref="N63:P64"/>
    <mergeCell ref="K65:P65"/>
    <mergeCell ref="E36:G36"/>
    <mergeCell ref="H36:J36"/>
    <mergeCell ref="K36:M36"/>
    <mergeCell ref="N36:P36"/>
    <mergeCell ref="Q36:S36"/>
    <mergeCell ref="T36:V36"/>
    <mergeCell ref="N34:P35"/>
    <mergeCell ref="E59:G59"/>
    <mergeCell ref="H59:J59"/>
    <mergeCell ref="K59:M59"/>
    <mergeCell ref="N59:P59"/>
    <mergeCell ref="K34:M35"/>
    <mergeCell ref="Q34:S35"/>
    <mergeCell ref="C13:C17"/>
    <mergeCell ref="C18:C20"/>
    <mergeCell ref="C21:C24"/>
    <mergeCell ref="C25:C26"/>
    <mergeCell ref="C27:C28"/>
    <mergeCell ref="N32:P33"/>
    <mergeCell ref="H34:J35"/>
    <mergeCell ref="AD35:AE35"/>
    <mergeCell ref="T34:V35"/>
    <mergeCell ref="AE8:AG8"/>
    <mergeCell ref="AE9:AG9"/>
    <mergeCell ref="C10:C12"/>
    <mergeCell ref="AE10:AG10"/>
    <mergeCell ref="AE12:AG12"/>
    <mergeCell ref="T4:V5"/>
    <mergeCell ref="W4:Y5"/>
    <mergeCell ref="E6:G6"/>
    <mergeCell ref="H6:J6"/>
    <mergeCell ref="K6:M6"/>
    <mergeCell ref="N6:P6"/>
    <mergeCell ref="Q6:S6"/>
    <mergeCell ref="T6:V6"/>
    <mergeCell ref="C4:D5"/>
    <mergeCell ref="N4:P5"/>
    <mergeCell ref="Q4:S5"/>
    <mergeCell ref="H4:J5"/>
    <mergeCell ref="K4:M5"/>
    <mergeCell ref="W6:Y6"/>
    <mergeCell ref="C8:C9"/>
    <mergeCell ref="C34:D35"/>
    <mergeCell ref="E34:G35"/>
    <mergeCell ref="E4:G4"/>
    <mergeCell ref="E5:G5"/>
    <mergeCell ref="E30:G30"/>
    <mergeCell ref="H30:J30"/>
    <mergeCell ref="K30:M30"/>
    <mergeCell ref="N30:P30"/>
    <mergeCell ref="Q30:S30"/>
    <mergeCell ref="T30:V30"/>
    <mergeCell ref="W30:Y30"/>
    <mergeCell ref="N120:P120"/>
    <mergeCell ref="C139:C146"/>
    <mergeCell ref="E147:G147"/>
    <mergeCell ref="H147:J147"/>
    <mergeCell ref="K147:M147"/>
    <mergeCell ref="N147:P147"/>
    <mergeCell ref="Q147:S147"/>
    <mergeCell ref="T147:V147"/>
    <mergeCell ref="W147:Y147"/>
    <mergeCell ref="H123:J123"/>
    <mergeCell ref="K123:M123"/>
    <mergeCell ref="N123:P123"/>
    <mergeCell ref="Q123:S123"/>
    <mergeCell ref="T123:V123"/>
    <mergeCell ref="W123:Y123"/>
    <mergeCell ref="C131:C138"/>
    <mergeCell ref="C124:C125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36AE9-0460-4FF9-BE90-903A0621B02F}">
  <dimension ref="A2:AG163"/>
  <sheetViews>
    <sheetView topLeftCell="A94" workbookViewId="0">
      <selection activeCell="C142" sqref="C142"/>
    </sheetView>
  </sheetViews>
  <sheetFormatPr baseColWidth="10" defaultColWidth="9.09765625" defaultRowHeight="13.8"/>
  <cols>
    <col min="2" max="2" width="8.8984375" customWidth="1"/>
    <col min="3" max="3" width="28.09765625" customWidth="1"/>
    <col min="4" max="24" width="8.69921875" customWidth="1"/>
    <col min="25" max="25" width="8.296875" customWidth="1"/>
    <col min="26" max="26" width="7" customWidth="1"/>
    <col min="27" max="27" width="19.3984375" customWidth="1"/>
    <col min="29" max="29" width="23.69921875" customWidth="1"/>
  </cols>
  <sheetData>
    <row r="2" spans="2:32"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</row>
    <row r="3" spans="2:32">
      <c r="B3" s="1817" t="s">
        <v>170</v>
      </c>
      <c r="C3" s="1817"/>
      <c r="D3" s="1954"/>
      <c r="E3" s="1955"/>
      <c r="F3" s="1956"/>
      <c r="G3" s="1975"/>
      <c r="H3" s="1975"/>
      <c r="I3" s="1975"/>
      <c r="J3" s="1954"/>
      <c r="K3" s="1955"/>
      <c r="L3" s="1956"/>
      <c r="M3" s="1974"/>
      <c r="N3" s="1974"/>
      <c r="O3" s="1974"/>
      <c r="P3" s="1874"/>
      <c r="Q3" s="1875"/>
      <c r="R3" s="1875"/>
      <c r="S3" s="1982"/>
      <c r="T3" s="1983"/>
      <c r="U3" s="1983"/>
      <c r="V3" s="1874"/>
      <c r="W3" s="1875"/>
      <c r="X3" s="1876"/>
      <c r="Y3" s="50"/>
      <c r="Z3" s="50"/>
      <c r="AA3" s="47"/>
    </row>
    <row r="4" spans="2:32">
      <c r="B4" s="1818"/>
      <c r="C4" s="1817"/>
      <c r="D4" s="2051"/>
      <c r="E4" s="2052"/>
      <c r="F4" s="2053"/>
      <c r="G4" s="1976"/>
      <c r="H4" s="1976"/>
      <c r="I4" s="1976"/>
      <c r="J4" s="1977"/>
      <c r="K4" s="1976"/>
      <c r="L4" s="1978"/>
      <c r="M4" s="1963"/>
      <c r="N4" s="1963"/>
      <c r="O4" s="1963"/>
      <c r="P4" s="1962"/>
      <c r="Q4" s="1963"/>
      <c r="R4" s="1963"/>
      <c r="S4" s="1984"/>
      <c r="T4" s="1985"/>
      <c r="U4" s="1985"/>
      <c r="V4" s="1962"/>
      <c r="W4" s="1963"/>
      <c r="X4" s="1968"/>
      <c r="Y4" s="17"/>
      <c r="Z4" s="17"/>
      <c r="AA4" s="17"/>
      <c r="AB4" s="17"/>
      <c r="AC4" s="17"/>
      <c r="AD4" s="17"/>
      <c r="AE4" s="17"/>
      <c r="AF4" s="17"/>
    </row>
    <row r="5" spans="2:32">
      <c r="B5" s="19" t="s">
        <v>1</v>
      </c>
      <c r="C5" s="19" t="s">
        <v>2</v>
      </c>
      <c r="D5" s="1931"/>
      <c r="E5" s="1932"/>
      <c r="F5" s="2138"/>
      <c r="G5" s="1950"/>
      <c r="H5" s="1950"/>
      <c r="I5" s="1950"/>
      <c r="J5" s="1913"/>
      <c r="K5" s="1950"/>
      <c r="L5" s="2037"/>
      <c r="M5" s="1932"/>
      <c r="N5" s="1932"/>
      <c r="O5" s="1932"/>
      <c r="P5" s="1913"/>
      <c r="Q5" s="1950"/>
      <c r="R5" s="1950"/>
      <c r="S5" s="1913"/>
      <c r="T5" s="1950"/>
      <c r="U5" s="1950"/>
      <c r="V5" s="1804" t="s">
        <v>168</v>
      </c>
      <c r="W5" s="2156"/>
      <c r="X5" s="2156"/>
      <c r="Y5" s="19" t="s">
        <v>5</v>
      </c>
      <c r="Z5" s="19" t="s">
        <v>6</v>
      </c>
      <c r="AA5" s="18" t="s">
        <v>7</v>
      </c>
      <c r="AB5" s="17"/>
      <c r="AC5" s="17"/>
      <c r="AD5" s="17"/>
      <c r="AE5" s="17"/>
      <c r="AF5" s="17"/>
    </row>
    <row r="6" spans="2:32">
      <c r="B6" s="1952" t="s">
        <v>8</v>
      </c>
      <c r="C6" s="925" t="s">
        <v>9</v>
      </c>
      <c r="D6" s="135"/>
      <c r="E6" s="136"/>
      <c r="F6" s="433"/>
      <c r="G6" s="100"/>
      <c r="H6" s="101"/>
      <c r="I6" s="102"/>
      <c r="J6" s="292"/>
      <c r="K6" s="293"/>
      <c r="L6" s="530"/>
      <c r="M6" s="508"/>
      <c r="N6" s="136"/>
      <c r="O6" s="137"/>
      <c r="P6" s="240"/>
      <c r="Q6" s="101"/>
      <c r="R6" s="102"/>
      <c r="S6" s="240"/>
      <c r="T6" s="101"/>
      <c r="U6" s="102"/>
      <c r="V6" s="460">
        <v>10</v>
      </c>
      <c r="W6" s="461">
        <v>20</v>
      </c>
      <c r="X6" s="505">
        <v>1</v>
      </c>
      <c r="Y6" s="365">
        <f t="shared" ref="Y6:Y28" si="0">SUM(E6-D6-F6+H6-G6-I6+K6-J6-L6+N6-M6-O6+Q6-P6-R6+T6-S6-U6+W6-V6-X6)</f>
        <v>9</v>
      </c>
      <c r="Z6" s="365"/>
      <c r="AA6" s="368"/>
      <c r="AB6" s="17"/>
      <c r="AC6" s="60" t="s">
        <v>10</v>
      </c>
      <c r="AD6" s="17"/>
      <c r="AE6" s="17"/>
      <c r="AF6" s="17"/>
    </row>
    <row r="7" spans="2:32">
      <c r="B7" s="1953"/>
      <c r="C7" s="1090" t="s">
        <v>154</v>
      </c>
      <c r="D7" s="82"/>
      <c r="E7" s="83"/>
      <c r="F7" s="413"/>
      <c r="G7" s="90"/>
      <c r="H7" s="86"/>
      <c r="I7" s="87"/>
      <c r="J7" s="407"/>
      <c r="K7" s="196"/>
      <c r="L7" s="310"/>
      <c r="M7" s="89"/>
      <c r="N7" s="83"/>
      <c r="O7" s="84"/>
      <c r="P7" s="85"/>
      <c r="Q7" s="86"/>
      <c r="R7" s="87"/>
      <c r="S7" s="85"/>
      <c r="T7" s="86"/>
      <c r="U7" s="87"/>
      <c r="V7" s="1056"/>
      <c r="W7" s="1057"/>
      <c r="X7" s="1058"/>
      <c r="Y7" s="364">
        <f t="shared" si="0"/>
        <v>0</v>
      </c>
      <c r="Z7" s="364"/>
      <c r="AA7" s="14"/>
      <c r="AB7" s="17"/>
      <c r="AC7" s="62" t="s">
        <v>13</v>
      </c>
      <c r="AD7" s="1839"/>
      <c r="AE7" s="1840"/>
      <c r="AF7" s="1840"/>
    </row>
    <row r="8" spans="2:32">
      <c r="B8" s="2004" t="s">
        <v>11</v>
      </c>
      <c r="C8" s="204" t="s">
        <v>51</v>
      </c>
      <c r="D8" s="135"/>
      <c r="E8" s="136"/>
      <c r="F8" s="433"/>
      <c r="G8" s="100"/>
      <c r="H8" s="101"/>
      <c r="I8" s="102"/>
      <c r="J8" s="292"/>
      <c r="K8" s="293"/>
      <c r="L8" s="530"/>
      <c r="M8" s="508"/>
      <c r="N8" s="136"/>
      <c r="O8" s="137"/>
      <c r="P8" s="240"/>
      <c r="Q8" s="101"/>
      <c r="R8" s="102"/>
      <c r="S8" s="240"/>
      <c r="T8" s="101"/>
      <c r="U8" s="102"/>
      <c r="V8" s="682"/>
      <c r="W8" s="683"/>
      <c r="X8" s="684"/>
      <c r="Y8" s="365">
        <f t="shared" si="0"/>
        <v>0</v>
      </c>
      <c r="Z8" s="365"/>
      <c r="AA8" s="368"/>
      <c r="AB8" s="17"/>
      <c r="AC8" s="61" t="s">
        <v>15</v>
      </c>
      <c r="AD8" s="1859"/>
      <c r="AE8" s="1860"/>
      <c r="AF8" s="1860"/>
    </row>
    <row r="9" spans="2:32">
      <c r="B9" s="2005"/>
      <c r="C9" s="205" t="s">
        <v>14</v>
      </c>
      <c r="D9" s="82"/>
      <c r="E9" s="83"/>
      <c r="F9" s="413"/>
      <c r="G9" s="90"/>
      <c r="H9" s="86"/>
      <c r="I9" s="87"/>
      <c r="J9" s="407"/>
      <c r="K9" s="196"/>
      <c r="L9" s="310"/>
      <c r="M9" s="89"/>
      <c r="N9" s="83"/>
      <c r="O9" s="84"/>
      <c r="P9" s="85"/>
      <c r="Q9" s="86"/>
      <c r="R9" s="87"/>
      <c r="S9" s="85"/>
      <c r="T9" s="86"/>
      <c r="U9" s="87"/>
      <c r="V9" s="211"/>
      <c r="W9" s="212"/>
      <c r="X9" s="213"/>
      <c r="Y9" s="364">
        <f t="shared" si="0"/>
        <v>0</v>
      </c>
      <c r="Z9" s="364"/>
      <c r="AA9" s="14"/>
      <c r="AB9" s="17"/>
      <c r="AC9" s="59" t="s">
        <v>18</v>
      </c>
      <c r="AD9" s="1869"/>
      <c r="AE9" s="1860"/>
      <c r="AF9" s="1860"/>
    </row>
    <row r="10" spans="2:32">
      <c r="B10" s="1952" t="s">
        <v>52</v>
      </c>
      <c r="C10" s="929" t="s">
        <v>19</v>
      </c>
      <c r="D10" s="135"/>
      <c r="E10" s="136"/>
      <c r="F10" s="433"/>
      <c r="G10" s="100"/>
      <c r="H10" s="101"/>
      <c r="I10" s="102"/>
      <c r="J10" s="292"/>
      <c r="K10" s="293"/>
      <c r="L10" s="530"/>
      <c r="M10" s="508"/>
      <c r="N10" s="136"/>
      <c r="O10" s="137"/>
      <c r="P10" s="240"/>
      <c r="Q10" s="101"/>
      <c r="R10" s="102"/>
      <c r="S10" s="240"/>
      <c r="T10" s="101"/>
      <c r="U10" s="102"/>
      <c r="V10" s="244">
        <v>10</v>
      </c>
      <c r="W10" s="237">
        <v>20</v>
      </c>
      <c r="X10" s="245">
        <v>1</v>
      </c>
      <c r="Y10" s="365">
        <f t="shared" si="0"/>
        <v>9</v>
      </c>
      <c r="Z10" s="365"/>
      <c r="AA10" s="368"/>
      <c r="AB10" s="17"/>
      <c r="AC10" s="58" t="s">
        <v>20</v>
      </c>
      <c r="AD10" s="23"/>
      <c r="AE10" s="45"/>
      <c r="AF10" s="45"/>
    </row>
    <row r="11" spans="2:32">
      <c r="B11" s="2006"/>
      <c r="C11" s="930" t="s">
        <v>21</v>
      </c>
      <c r="D11" s="73"/>
      <c r="E11" s="74"/>
      <c r="F11" s="480"/>
      <c r="G11" s="406"/>
      <c r="H11" s="77"/>
      <c r="I11" s="78"/>
      <c r="J11" s="186"/>
      <c r="K11" s="187"/>
      <c r="L11" s="192"/>
      <c r="M11" s="417"/>
      <c r="N11" s="74"/>
      <c r="O11" s="75"/>
      <c r="P11" s="76"/>
      <c r="Q11" s="77"/>
      <c r="R11" s="78"/>
      <c r="S11" s="76"/>
      <c r="T11" s="77"/>
      <c r="U11" s="78"/>
      <c r="V11" s="79">
        <v>10</v>
      </c>
      <c r="W11" s="80">
        <v>20</v>
      </c>
      <c r="X11" s="247">
        <v>1</v>
      </c>
      <c r="Y11" s="362">
        <f t="shared" si="0"/>
        <v>9</v>
      </c>
      <c r="Z11" s="362"/>
      <c r="AA11" s="6"/>
      <c r="AB11" s="17"/>
      <c r="AC11" s="48" t="s">
        <v>22</v>
      </c>
      <c r="AD11" s="1859"/>
      <c r="AE11" s="1860"/>
      <c r="AF11" s="1860"/>
    </row>
    <row r="12" spans="2:32">
      <c r="B12" s="1953"/>
      <c r="C12" s="931" t="s">
        <v>53</v>
      </c>
      <c r="D12" s="82"/>
      <c r="E12" s="83"/>
      <c r="F12" s="413"/>
      <c r="G12" s="90"/>
      <c r="H12" s="86"/>
      <c r="I12" s="87"/>
      <c r="J12" s="407"/>
      <c r="K12" s="196"/>
      <c r="L12" s="310"/>
      <c r="M12" s="89"/>
      <c r="N12" s="83"/>
      <c r="O12" s="84"/>
      <c r="P12" s="85"/>
      <c r="Q12" s="86"/>
      <c r="R12" s="87"/>
      <c r="S12" s="85"/>
      <c r="T12" s="86"/>
      <c r="U12" s="87"/>
      <c r="V12" s="211"/>
      <c r="W12" s="212"/>
      <c r="X12" s="213"/>
      <c r="Y12" s="364">
        <f t="shared" si="0"/>
        <v>0</v>
      </c>
      <c r="Z12" s="364"/>
      <c r="AA12" s="14"/>
      <c r="AB12" s="17"/>
      <c r="AC12" s="23"/>
      <c r="AD12" s="17"/>
      <c r="AE12" s="17"/>
      <c r="AF12" s="17"/>
    </row>
    <row r="13" spans="2:32">
      <c r="B13" s="1831" t="s">
        <v>171</v>
      </c>
      <c r="C13" s="694" t="s">
        <v>25</v>
      </c>
      <c r="D13" s="135"/>
      <c r="E13" s="136"/>
      <c r="F13" s="433"/>
      <c r="G13" s="508"/>
      <c r="H13" s="136"/>
      <c r="I13" s="137"/>
      <c r="J13" s="292"/>
      <c r="K13" s="293"/>
      <c r="L13" s="530"/>
      <c r="M13" s="508"/>
      <c r="N13" s="136"/>
      <c r="O13" s="137"/>
      <c r="P13" s="240"/>
      <c r="Q13" s="101"/>
      <c r="R13" s="102"/>
      <c r="S13" s="135"/>
      <c r="T13" s="136"/>
      <c r="U13" s="137"/>
      <c r="V13" s="682"/>
      <c r="W13" s="683"/>
      <c r="X13" s="684"/>
      <c r="Y13" s="365">
        <f t="shared" si="0"/>
        <v>0</v>
      </c>
      <c r="Z13" s="365"/>
      <c r="AA13" s="368"/>
      <c r="AB13" s="17"/>
      <c r="AC13" s="23"/>
      <c r="AD13" s="17"/>
      <c r="AE13" s="17"/>
      <c r="AF13" s="17"/>
    </row>
    <row r="14" spans="2:32">
      <c r="B14" s="1831"/>
      <c r="C14" s="695" t="s">
        <v>27</v>
      </c>
      <c r="D14" s="73"/>
      <c r="E14" s="74"/>
      <c r="F14" s="480"/>
      <c r="G14" s="406"/>
      <c r="H14" s="77"/>
      <c r="I14" s="78"/>
      <c r="J14" s="186"/>
      <c r="K14" s="187"/>
      <c r="L14" s="192"/>
      <c r="M14" s="417"/>
      <c r="N14" s="74"/>
      <c r="O14" s="75"/>
      <c r="P14" s="73"/>
      <c r="Q14" s="74"/>
      <c r="R14" s="75"/>
      <c r="S14" s="76"/>
      <c r="T14" s="77"/>
      <c r="U14" s="78"/>
      <c r="V14" s="79">
        <v>8</v>
      </c>
      <c r="W14" s="80">
        <v>18</v>
      </c>
      <c r="X14" s="247">
        <v>1</v>
      </c>
      <c r="Y14" s="362">
        <f t="shared" si="0"/>
        <v>9</v>
      </c>
      <c r="Z14" s="362"/>
      <c r="AA14" s="6"/>
      <c r="AB14" s="17"/>
      <c r="AC14" s="17"/>
      <c r="AD14" s="17"/>
      <c r="AE14" s="17"/>
      <c r="AF14" s="17"/>
    </row>
    <row r="15" spans="2:32">
      <c r="B15" s="1831"/>
      <c r="C15" s="695" t="s">
        <v>28</v>
      </c>
      <c r="D15" s="73"/>
      <c r="E15" s="74"/>
      <c r="F15" s="480"/>
      <c r="G15" s="406"/>
      <c r="H15" s="77"/>
      <c r="I15" s="78"/>
      <c r="J15" s="186"/>
      <c r="K15" s="187"/>
      <c r="L15" s="192"/>
      <c r="M15" s="406"/>
      <c r="N15" s="77"/>
      <c r="O15" s="78"/>
      <c r="P15" s="186"/>
      <c r="Q15" s="187"/>
      <c r="R15" s="188"/>
      <c r="S15" s="73"/>
      <c r="T15" s="74"/>
      <c r="U15" s="75"/>
      <c r="V15" s="79">
        <v>10</v>
      </c>
      <c r="W15" s="80">
        <v>20</v>
      </c>
      <c r="X15" s="247">
        <v>1</v>
      </c>
      <c r="Y15" s="362">
        <f t="shared" si="0"/>
        <v>9</v>
      </c>
      <c r="Z15" s="362"/>
      <c r="AA15" s="6"/>
      <c r="AB15" s="17"/>
      <c r="AC15" s="17"/>
      <c r="AD15" s="17"/>
      <c r="AE15" s="17"/>
      <c r="AF15" s="17"/>
    </row>
    <row r="16" spans="2:32">
      <c r="B16" s="1831"/>
      <c r="C16" s="695" t="s">
        <v>31</v>
      </c>
      <c r="D16" s="73"/>
      <c r="E16" s="74"/>
      <c r="F16" s="480"/>
      <c r="G16" s="406"/>
      <c r="H16" s="77"/>
      <c r="I16" s="78"/>
      <c r="J16" s="186"/>
      <c r="K16" s="187"/>
      <c r="L16" s="192"/>
      <c r="M16" s="417"/>
      <c r="N16" s="74"/>
      <c r="O16" s="75"/>
      <c r="P16" s="73"/>
      <c r="Q16" s="74"/>
      <c r="R16" s="75"/>
      <c r="S16" s="76"/>
      <c r="T16" s="77"/>
      <c r="U16" s="78"/>
      <c r="V16" s="846"/>
      <c r="W16" s="828"/>
      <c r="X16" s="872"/>
      <c r="Y16" s="362">
        <f t="shared" si="0"/>
        <v>0</v>
      </c>
      <c r="Z16" s="362"/>
      <c r="AA16" s="6"/>
      <c r="AB16" s="17"/>
      <c r="AC16" s="17"/>
      <c r="AD16" s="17"/>
      <c r="AE16" s="17"/>
      <c r="AF16" s="17"/>
    </row>
    <row r="17" spans="2:32" ht="15" customHeight="1">
      <c r="B17" s="1831"/>
      <c r="C17" s="695" t="s">
        <v>55</v>
      </c>
      <c r="D17" s="73"/>
      <c r="E17" s="74"/>
      <c r="F17" s="480"/>
      <c r="G17" s="191"/>
      <c r="H17" s="187"/>
      <c r="I17" s="188"/>
      <c r="J17" s="186"/>
      <c r="K17" s="187"/>
      <c r="L17" s="192"/>
      <c r="M17" s="417"/>
      <c r="N17" s="74"/>
      <c r="O17" s="75"/>
      <c r="P17" s="76"/>
      <c r="Q17" s="77"/>
      <c r="R17" s="78"/>
      <c r="S17" s="76"/>
      <c r="T17" s="77"/>
      <c r="U17" s="78"/>
      <c r="V17" s="846"/>
      <c r="W17" s="828"/>
      <c r="X17" s="872"/>
      <c r="Y17" s="362">
        <f t="shared" si="0"/>
        <v>0</v>
      </c>
      <c r="Z17" s="362"/>
      <c r="AA17" s="6"/>
      <c r="AB17" s="17"/>
      <c r="AC17" s="17"/>
      <c r="AD17" s="17"/>
      <c r="AE17" s="17"/>
      <c r="AF17" s="17"/>
    </row>
    <row r="18" spans="2:32">
      <c r="B18" s="1831"/>
      <c r="C18" s="695" t="s">
        <v>172</v>
      </c>
      <c r="D18" s="73"/>
      <c r="E18" s="74"/>
      <c r="F18" s="480"/>
      <c r="G18" s="417"/>
      <c r="H18" s="74"/>
      <c r="I18" s="75"/>
      <c r="J18" s="186"/>
      <c r="K18" s="187"/>
      <c r="L18" s="192"/>
      <c r="M18" s="417"/>
      <c r="N18" s="74"/>
      <c r="O18" s="75"/>
      <c r="P18" s="73"/>
      <c r="Q18" s="74"/>
      <c r="R18" s="75"/>
      <c r="S18" s="76"/>
      <c r="T18" s="77"/>
      <c r="U18" s="78"/>
      <c r="V18" s="173"/>
      <c r="W18" s="174"/>
      <c r="X18" s="360"/>
      <c r="Y18" s="362">
        <f t="shared" si="0"/>
        <v>0</v>
      </c>
      <c r="Z18" s="362"/>
      <c r="AA18" s="6"/>
      <c r="AB18" s="17"/>
      <c r="AC18" s="17"/>
      <c r="AD18" s="17"/>
      <c r="AE18" s="17"/>
      <c r="AF18" s="17"/>
    </row>
    <row r="19" spans="2:32">
      <c r="B19" s="1831"/>
      <c r="C19" s="695" t="s">
        <v>87</v>
      </c>
      <c r="D19" s="73"/>
      <c r="E19" s="74"/>
      <c r="F19" s="480"/>
      <c r="G19" s="417"/>
      <c r="H19" s="74"/>
      <c r="I19" s="75"/>
      <c r="J19" s="186"/>
      <c r="K19" s="187"/>
      <c r="L19" s="192"/>
      <c r="M19" s="417"/>
      <c r="N19" s="74"/>
      <c r="O19" s="75"/>
      <c r="P19" s="73"/>
      <c r="Q19" s="74"/>
      <c r="R19" s="75"/>
      <c r="S19" s="73"/>
      <c r="T19" s="74"/>
      <c r="U19" s="75"/>
      <c r="V19" s="79">
        <v>10</v>
      </c>
      <c r="W19" s="80">
        <v>20</v>
      </c>
      <c r="X19" s="247">
        <v>1</v>
      </c>
      <c r="Y19" s="362">
        <f t="shared" si="0"/>
        <v>9</v>
      </c>
      <c r="Z19" s="362"/>
      <c r="AA19" s="6"/>
      <c r="AB19" s="17"/>
      <c r="AC19" s="17"/>
      <c r="AD19" s="17"/>
      <c r="AE19" s="17"/>
      <c r="AF19" s="17"/>
    </row>
    <row r="20" spans="2:32" ht="15" customHeight="1">
      <c r="B20" s="1831"/>
      <c r="C20" s="932" t="s">
        <v>104</v>
      </c>
      <c r="D20" s="241"/>
      <c r="E20" s="238"/>
      <c r="F20" s="537"/>
      <c r="G20" s="775"/>
      <c r="H20" s="239"/>
      <c r="I20" s="243"/>
      <c r="J20" s="606"/>
      <c r="K20" s="607"/>
      <c r="L20" s="608"/>
      <c r="M20" s="432"/>
      <c r="N20" s="238"/>
      <c r="O20" s="246"/>
      <c r="P20" s="242"/>
      <c r="Q20" s="239"/>
      <c r="R20" s="243"/>
      <c r="S20" s="242"/>
      <c r="T20" s="239"/>
      <c r="U20" s="243"/>
      <c r="V20" s="79">
        <v>8</v>
      </c>
      <c r="W20" s="80">
        <v>18</v>
      </c>
      <c r="X20" s="247">
        <v>1</v>
      </c>
      <c r="Y20" s="363">
        <f t="shared" si="0"/>
        <v>9</v>
      </c>
      <c r="Z20" s="363"/>
      <c r="AA20" s="369"/>
      <c r="AB20" s="17"/>
      <c r="AC20" s="17"/>
      <c r="AD20" s="17"/>
      <c r="AE20" s="17"/>
      <c r="AF20" s="17"/>
    </row>
    <row r="21" spans="2:32">
      <c r="B21" s="1830" t="s">
        <v>116</v>
      </c>
      <c r="C21" s="694" t="s">
        <v>32</v>
      </c>
      <c r="D21" s="354"/>
      <c r="E21" s="63"/>
      <c r="F21" s="412"/>
      <c r="G21" s="69"/>
      <c r="H21" s="66"/>
      <c r="I21" s="67"/>
      <c r="J21" s="1091"/>
      <c r="K21" s="1092"/>
      <c r="L21" s="1093"/>
      <c r="M21" s="411"/>
      <c r="N21" s="63"/>
      <c r="O21" s="64"/>
      <c r="P21" s="65"/>
      <c r="Q21" s="66"/>
      <c r="R21" s="67"/>
      <c r="S21" s="65"/>
      <c r="T21" s="66"/>
      <c r="U21" s="67"/>
      <c r="V21" s="244">
        <v>11</v>
      </c>
      <c r="W21" s="237">
        <v>20</v>
      </c>
      <c r="X21" s="245">
        <v>1</v>
      </c>
      <c r="Y21" s="361">
        <f t="shared" si="0"/>
        <v>8</v>
      </c>
      <c r="Z21" s="361"/>
      <c r="AA21" s="5"/>
      <c r="AB21" s="17"/>
      <c r="AC21" s="17"/>
      <c r="AD21" s="17"/>
      <c r="AE21" s="17"/>
      <c r="AF21" s="17"/>
    </row>
    <row r="22" spans="2:32">
      <c r="B22" s="1831"/>
      <c r="C22" s="695" t="s">
        <v>114</v>
      </c>
      <c r="D22" s="73"/>
      <c r="E22" s="74"/>
      <c r="F22" s="480"/>
      <c r="G22" s="406"/>
      <c r="H22" s="77"/>
      <c r="I22" s="78"/>
      <c r="J22" s="186"/>
      <c r="K22" s="187"/>
      <c r="L22" s="192"/>
      <c r="M22" s="417"/>
      <c r="N22" s="74"/>
      <c r="O22" s="75"/>
      <c r="P22" s="76"/>
      <c r="Q22" s="77"/>
      <c r="R22" s="78"/>
      <c r="S22" s="76"/>
      <c r="T22" s="77"/>
      <c r="U22" s="78"/>
      <c r="V22" s="79">
        <v>12</v>
      </c>
      <c r="W22" s="80">
        <v>20</v>
      </c>
      <c r="X22" s="247">
        <v>1</v>
      </c>
      <c r="Y22" s="362">
        <f t="shared" si="0"/>
        <v>7</v>
      </c>
      <c r="Z22" s="362"/>
      <c r="AA22" s="6"/>
      <c r="AB22" s="17"/>
      <c r="AC22" s="17"/>
      <c r="AD22" s="17"/>
      <c r="AE22" s="17"/>
      <c r="AF22" s="17"/>
    </row>
    <row r="23" spans="2:32">
      <c r="B23" s="1831"/>
      <c r="C23" s="695" t="s">
        <v>89</v>
      </c>
      <c r="D23" s="73"/>
      <c r="E23" s="74"/>
      <c r="F23" s="480"/>
      <c r="G23" s="406"/>
      <c r="H23" s="77"/>
      <c r="I23" s="78"/>
      <c r="J23" s="186"/>
      <c r="K23" s="187"/>
      <c r="L23" s="192"/>
      <c r="M23" s="417"/>
      <c r="N23" s="74"/>
      <c r="O23" s="75"/>
      <c r="P23" s="76"/>
      <c r="Q23" s="77"/>
      <c r="R23" s="78"/>
      <c r="S23" s="76"/>
      <c r="T23" s="77"/>
      <c r="U23" s="78"/>
      <c r="V23" s="79">
        <v>12</v>
      </c>
      <c r="W23" s="80">
        <v>20</v>
      </c>
      <c r="X23" s="247">
        <v>1</v>
      </c>
      <c r="Y23" s="362">
        <f t="shared" si="0"/>
        <v>7</v>
      </c>
      <c r="Z23" s="362"/>
      <c r="AA23" s="6"/>
      <c r="AB23" s="17"/>
      <c r="AC23" s="17"/>
      <c r="AD23" s="17"/>
      <c r="AE23" s="17"/>
      <c r="AF23" s="17"/>
    </row>
    <row r="24" spans="2:32">
      <c r="B24" s="1831"/>
      <c r="C24" s="695" t="s">
        <v>38</v>
      </c>
      <c r="D24" s="73"/>
      <c r="E24" s="74"/>
      <c r="F24" s="480"/>
      <c r="G24" s="406"/>
      <c r="H24" s="77"/>
      <c r="I24" s="78"/>
      <c r="J24" s="186"/>
      <c r="K24" s="187"/>
      <c r="L24" s="192"/>
      <c r="M24" s="543"/>
      <c r="N24" s="533"/>
      <c r="O24" s="544"/>
      <c r="P24" s="76"/>
      <c r="Q24" s="77"/>
      <c r="R24" s="78"/>
      <c r="S24" s="76"/>
      <c r="T24" s="77"/>
      <c r="U24" s="78"/>
      <c r="V24" s="79">
        <v>11</v>
      </c>
      <c r="W24" s="80">
        <v>20</v>
      </c>
      <c r="X24" s="247">
        <v>1</v>
      </c>
      <c r="Y24" s="362">
        <f t="shared" si="0"/>
        <v>8</v>
      </c>
      <c r="Z24" s="362"/>
      <c r="AA24" s="6"/>
      <c r="AB24" s="17"/>
      <c r="AC24" s="17"/>
      <c r="AD24" s="17"/>
      <c r="AE24" s="17"/>
      <c r="AF24" s="17"/>
    </row>
    <row r="25" spans="2:32">
      <c r="B25" s="1831"/>
      <c r="C25" s="695"/>
      <c r="D25" s="73"/>
      <c r="E25" s="74"/>
      <c r="F25" s="480"/>
      <c r="G25" s="417"/>
      <c r="H25" s="74"/>
      <c r="I25" s="75"/>
      <c r="J25" s="186"/>
      <c r="K25" s="187"/>
      <c r="L25" s="192"/>
      <c r="M25" s="543"/>
      <c r="N25" s="533"/>
      <c r="O25" s="544"/>
      <c r="P25" s="73"/>
      <c r="Q25" s="74"/>
      <c r="R25" s="75"/>
      <c r="S25" s="73"/>
      <c r="T25" s="74"/>
      <c r="U25" s="75"/>
      <c r="V25" s="79">
        <v>12</v>
      </c>
      <c r="W25" s="80">
        <v>20</v>
      </c>
      <c r="X25" s="247">
        <v>1</v>
      </c>
      <c r="Y25" s="362">
        <f t="shared" si="0"/>
        <v>7</v>
      </c>
      <c r="Z25" s="362"/>
      <c r="AA25" s="6"/>
      <c r="AB25" s="17"/>
      <c r="AC25" s="17"/>
      <c r="AD25" s="17"/>
      <c r="AE25" s="17"/>
      <c r="AF25" s="17"/>
    </row>
    <row r="26" spans="2:32" ht="15" customHeight="1">
      <c r="B26" s="1831"/>
      <c r="C26" s="695" t="s">
        <v>36</v>
      </c>
      <c r="D26" s="73"/>
      <c r="E26" s="74"/>
      <c r="F26" s="480"/>
      <c r="G26" s="417"/>
      <c r="H26" s="74"/>
      <c r="I26" s="75"/>
      <c r="J26" s="186"/>
      <c r="K26" s="187"/>
      <c r="L26" s="192"/>
      <c r="M26" s="417"/>
      <c r="N26" s="74"/>
      <c r="O26" s="75"/>
      <c r="P26" s="73"/>
      <c r="Q26" s="74"/>
      <c r="R26" s="75"/>
      <c r="S26" s="73"/>
      <c r="T26" s="74"/>
      <c r="U26" s="75"/>
      <c r="V26" s="79">
        <v>11</v>
      </c>
      <c r="W26" s="80">
        <v>20</v>
      </c>
      <c r="X26" s="247">
        <v>1</v>
      </c>
      <c r="Y26" s="362">
        <f t="shared" si="0"/>
        <v>8</v>
      </c>
      <c r="Z26" s="362"/>
      <c r="AA26" s="6"/>
      <c r="AB26" s="17"/>
      <c r="AC26" s="17"/>
      <c r="AD26" s="17"/>
      <c r="AE26" s="17"/>
      <c r="AF26" s="17"/>
    </row>
    <row r="27" spans="2:32">
      <c r="B27" s="1831"/>
      <c r="C27" s="695" t="s">
        <v>169</v>
      </c>
      <c r="D27" s="73"/>
      <c r="E27" s="74"/>
      <c r="F27" s="480"/>
      <c r="G27" s="417"/>
      <c r="H27" s="74"/>
      <c r="I27" s="75"/>
      <c r="J27" s="186"/>
      <c r="K27" s="187"/>
      <c r="L27" s="192"/>
      <c r="M27" s="417"/>
      <c r="N27" s="74"/>
      <c r="O27" s="75"/>
      <c r="P27" s="73"/>
      <c r="Q27" s="74"/>
      <c r="R27" s="75"/>
      <c r="S27" s="73"/>
      <c r="T27" s="74"/>
      <c r="U27" s="75"/>
      <c r="V27" s="330">
        <v>8</v>
      </c>
      <c r="W27" s="331">
        <v>17</v>
      </c>
      <c r="X27" s="332">
        <v>1</v>
      </c>
      <c r="Y27" s="362">
        <f t="shared" si="0"/>
        <v>8</v>
      </c>
      <c r="Z27" s="362"/>
      <c r="AA27" s="6"/>
      <c r="AB27" s="17"/>
      <c r="AC27" s="17"/>
      <c r="AD27" s="17"/>
      <c r="AE27" s="17"/>
      <c r="AF27" s="17"/>
    </row>
    <row r="28" spans="2:32">
      <c r="B28" s="1832"/>
      <c r="C28" s="561" t="s">
        <v>117</v>
      </c>
      <c r="D28" s="407"/>
      <c r="E28" s="196"/>
      <c r="F28" s="310"/>
      <c r="G28" s="309"/>
      <c r="H28" s="196"/>
      <c r="I28" s="408"/>
      <c r="J28" s="407"/>
      <c r="K28" s="196"/>
      <c r="L28" s="310"/>
      <c r="M28" s="309"/>
      <c r="N28" s="196"/>
      <c r="O28" s="408"/>
      <c r="P28" s="606"/>
      <c r="Q28" s="607"/>
      <c r="R28" s="905"/>
      <c r="S28" s="606"/>
      <c r="T28" s="607"/>
      <c r="U28" s="905"/>
      <c r="V28" s="460">
        <v>12</v>
      </c>
      <c r="W28" s="461">
        <v>20</v>
      </c>
      <c r="X28" s="505">
        <v>1</v>
      </c>
      <c r="Y28" s="363">
        <f t="shared" si="0"/>
        <v>7</v>
      </c>
      <c r="Z28" s="363"/>
      <c r="AA28" s="369"/>
      <c r="AB28" s="17"/>
      <c r="AC28" s="17"/>
      <c r="AD28" s="17"/>
      <c r="AE28" s="17"/>
      <c r="AF28" s="17"/>
    </row>
    <row r="29" spans="2:32">
      <c r="B29" s="32"/>
      <c r="C29" s="295"/>
      <c r="D29" s="1836">
        <f>COUNT(D6:D27)</f>
        <v>0</v>
      </c>
      <c r="E29" s="1837"/>
      <c r="F29" s="1838"/>
      <c r="G29" s="1837">
        <f>COUNT(G6:G27)</f>
        <v>0</v>
      </c>
      <c r="H29" s="1837"/>
      <c r="I29" s="1837"/>
      <c r="J29" s="1836">
        <f>COUNT(J6:J27)</f>
        <v>0</v>
      </c>
      <c r="K29" s="1837"/>
      <c r="L29" s="1838"/>
      <c r="M29" s="1837">
        <f>COUNT(M6:M27)</f>
        <v>0</v>
      </c>
      <c r="N29" s="1837"/>
      <c r="O29" s="2150"/>
      <c r="P29" s="2077">
        <f>COUNT(P6:P27)</f>
        <v>0</v>
      </c>
      <c r="Q29" s="1829"/>
      <c r="R29" s="1852"/>
      <c r="S29" s="2077">
        <f>COUNT(S6:S27)</f>
        <v>0</v>
      </c>
      <c r="T29" s="1829"/>
      <c r="U29" s="1829"/>
      <c r="V29" s="1836">
        <f>COUNT(V6:V28)</f>
        <v>15</v>
      </c>
      <c r="W29" s="1837"/>
      <c r="X29" s="1838"/>
      <c r="Y29" s="23"/>
      <c r="Z29" s="23"/>
      <c r="AA29" s="17"/>
      <c r="AB29" s="17"/>
      <c r="AC29" s="17"/>
      <c r="AD29" s="17"/>
      <c r="AE29" s="17"/>
      <c r="AF29" s="17"/>
    </row>
    <row r="30" spans="2:32"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AB30" s="17"/>
      <c r="AC30" s="17"/>
      <c r="AD30" s="17"/>
      <c r="AE30" s="17"/>
      <c r="AF30" s="17"/>
    </row>
    <row r="31" spans="2:32">
      <c r="D31" s="50"/>
      <c r="E31" s="50"/>
      <c r="F31" s="50"/>
      <c r="G31" s="50"/>
      <c r="H31" s="50"/>
      <c r="I31" s="50"/>
      <c r="J31" s="50"/>
      <c r="K31" s="50"/>
      <c r="L31" s="50"/>
      <c r="M31" s="2143"/>
      <c r="N31" s="2143"/>
      <c r="O31" s="2143"/>
      <c r="P31" s="50"/>
      <c r="Q31" s="50"/>
      <c r="R31" s="50"/>
      <c r="S31" s="50"/>
      <c r="T31" s="50"/>
      <c r="U31" s="50"/>
      <c r="V31" s="50"/>
      <c r="W31" s="50"/>
      <c r="X31" s="50"/>
      <c r="AB31" s="17"/>
      <c r="AC31" s="17"/>
      <c r="AD31" s="17"/>
      <c r="AE31" s="17"/>
      <c r="AF31" s="17"/>
    </row>
    <row r="32" spans="2:32" ht="12.75" customHeight="1">
      <c r="D32" s="50"/>
      <c r="E32" s="50"/>
      <c r="F32" s="50"/>
      <c r="G32" s="50"/>
      <c r="H32" s="50"/>
      <c r="I32" s="50"/>
      <c r="J32" s="50"/>
      <c r="K32" s="50"/>
      <c r="L32" s="50"/>
      <c r="M32" s="2143"/>
      <c r="N32" s="2143"/>
      <c r="O32" s="2143"/>
      <c r="P32" s="2074" t="s">
        <v>173</v>
      </c>
      <c r="Q32" s="2075"/>
      <c r="R32" s="2076"/>
      <c r="S32" s="50"/>
      <c r="T32" s="50"/>
      <c r="U32" s="50"/>
      <c r="V32" s="50"/>
      <c r="W32" s="50"/>
      <c r="X32" s="50"/>
      <c r="AB32" s="17"/>
      <c r="AC32" s="17"/>
      <c r="AD32" s="17"/>
      <c r="AE32" s="17"/>
      <c r="AF32" s="17"/>
    </row>
    <row r="33" spans="1:32" ht="20.25" customHeight="1">
      <c r="B33" s="1817" t="str">
        <f>B3</f>
        <v xml:space="preserve">FEBRERO </v>
      </c>
      <c r="C33" s="1817"/>
      <c r="D33" s="1954"/>
      <c r="E33" s="1955"/>
      <c r="F33" s="1955"/>
      <c r="G33" s="2151" t="s">
        <v>91</v>
      </c>
      <c r="H33" s="2152"/>
      <c r="I33" s="2152"/>
      <c r="J33" s="2151" t="s">
        <v>159</v>
      </c>
      <c r="K33" s="2152"/>
      <c r="L33" s="2152"/>
      <c r="M33" s="2144" t="s">
        <v>174</v>
      </c>
      <c r="N33" s="2145"/>
      <c r="O33" s="2146"/>
      <c r="P33" s="2139" t="s">
        <v>175</v>
      </c>
      <c r="Q33" s="2139"/>
      <c r="R33" s="2140"/>
      <c r="S33" s="1983"/>
      <c r="T33" s="1983"/>
      <c r="U33" s="2119"/>
      <c r="V33" s="1875"/>
      <c r="W33" s="1875"/>
      <c r="X33" s="1876"/>
      <c r="Y33" s="50"/>
      <c r="Z33" s="50"/>
      <c r="AA33" s="47"/>
      <c r="AB33" s="17"/>
      <c r="AC33" s="17"/>
      <c r="AD33" s="17"/>
      <c r="AE33" s="17"/>
      <c r="AF33" s="17"/>
    </row>
    <row r="34" spans="1:32" ht="19.5" customHeight="1">
      <c r="B34" s="1818"/>
      <c r="C34" s="1818"/>
      <c r="D34" s="2051"/>
      <c r="E34" s="2052"/>
      <c r="F34" s="2052"/>
      <c r="G34" s="2154" t="s">
        <v>176</v>
      </c>
      <c r="H34" s="2155"/>
      <c r="I34" s="2155"/>
      <c r="J34" s="2153" t="s">
        <v>177</v>
      </c>
      <c r="K34" s="2130"/>
      <c r="L34" s="2130"/>
      <c r="M34" s="2147"/>
      <c r="N34" s="2148"/>
      <c r="O34" s="2149"/>
      <c r="P34" s="2141" t="s">
        <v>91</v>
      </c>
      <c r="Q34" s="2141"/>
      <c r="R34" s="2142"/>
      <c r="S34" s="1984"/>
      <c r="T34" s="1985"/>
      <c r="U34" s="2135"/>
      <c r="V34" s="2015"/>
      <c r="W34" s="2015"/>
      <c r="X34" s="2017"/>
      <c r="Y34" s="17"/>
      <c r="Z34" s="17"/>
      <c r="AA34" s="17"/>
      <c r="AB34" s="17"/>
      <c r="AC34" s="2136" t="s">
        <v>42</v>
      </c>
      <c r="AD34" s="2137"/>
      <c r="AE34" s="17"/>
      <c r="AF34" s="17"/>
    </row>
    <row r="35" spans="1:32">
      <c r="B35" s="19" t="s">
        <v>1</v>
      </c>
      <c r="C35" s="19" t="s">
        <v>2</v>
      </c>
      <c r="D35" s="1931" t="s">
        <v>178</v>
      </c>
      <c r="E35" s="1932"/>
      <c r="F35" s="1932"/>
      <c r="G35" s="1913" t="s">
        <v>179</v>
      </c>
      <c r="H35" s="1950"/>
      <c r="I35" s="1950"/>
      <c r="J35" s="1913" t="s">
        <v>180</v>
      </c>
      <c r="K35" s="1950"/>
      <c r="L35" s="1950"/>
      <c r="M35" s="1931" t="s">
        <v>181</v>
      </c>
      <c r="N35" s="1932"/>
      <c r="O35" s="2138"/>
      <c r="P35" s="1950" t="s">
        <v>182</v>
      </c>
      <c r="Q35" s="1950"/>
      <c r="R35" s="1950"/>
      <c r="S35" s="1913" t="s">
        <v>183</v>
      </c>
      <c r="T35" s="1950"/>
      <c r="U35" s="1950"/>
      <c r="V35" s="1867" t="s">
        <v>184</v>
      </c>
      <c r="W35" s="1868"/>
      <c r="X35" s="1868"/>
      <c r="Y35" s="19" t="s">
        <v>5</v>
      </c>
      <c r="Z35" s="19" t="s">
        <v>6</v>
      </c>
      <c r="AA35" s="18" t="s">
        <v>7</v>
      </c>
      <c r="AB35" s="17"/>
      <c r="AC35" s="906" t="s">
        <v>2</v>
      </c>
      <c r="AD35" s="943" t="s">
        <v>50</v>
      </c>
      <c r="AE35" s="17"/>
      <c r="AF35" s="17"/>
    </row>
    <row r="36" spans="1:32">
      <c r="B36" s="1952" t="s">
        <v>8</v>
      </c>
      <c r="C36" s="925" t="s">
        <v>9</v>
      </c>
      <c r="D36" s="135">
        <v>10.5</v>
      </c>
      <c r="E36" s="136">
        <v>20.5</v>
      </c>
      <c r="F36" s="137">
        <v>1</v>
      </c>
      <c r="G36" s="135">
        <v>10.5</v>
      </c>
      <c r="H36" s="136">
        <v>20.5</v>
      </c>
      <c r="I36" s="137">
        <v>1</v>
      </c>
      <c r="J36" s="1112">
        <v>10.5</v>
      </c>
      <c r="K36" s="1113">
        <v>20.5</v>
      </c>
      <c r="L36" s="1114">
        <v>1</v>
      </c>
      <c r="M36" s="135">
        <v>10.5</v>
      </c>
      <c r="N36" s="136">
        <v>20.5</v>
      </c>
      <c r="O36" s="433">
        <v>1</v>
      </c>
      <c r="P36" s="1138">
        <v>7</v>
      </c>
      <c r="Q36" s="692">
        <v>16</v>
      </c>
      <c r="R36" s="698">
        <v>1</v>
      </c>
      <c r="S36" s="249"/>
      <c r="T36" s="250"/>
      <c r="U36" s="263"/>
      <c r="V36" s="682"/>
      <c r="W36" s="683"/>
      <c r="X36" s="911"/>
      <c r="Y36" s="441">
        <f t="shared" ref="Y36:Y59" si="1">SUM(E36-D36-F36+H36-G36-I36+K36-J36-L36+N36-M36-O36+Q36-P36-R36+T36-S36-U36+W36-V36-X36)</f>
        <v>44</v>
      </c>
      <c r="Z36" s="365"/>
      <c r="AA36" s="368"/>
      <c r="AB36" s="17"/>
      <c r="AC36" s="926" t="s">
        <v>9</v>
      </c>
      <c r="AD36" s="910">
        <f>Y6+Y36+Y67+Y98+Y128</f>
        <v>123</v>
      </c>
      <c r="AE36" s="17"/>
      <c r="AF36" s="17"/>
    </row>
    <row r="37" spans="1:32">
      <c r="B37" s="2006"/>
      <c r="C37" s="1090" t="s">
        <v>154</v>
      </c>
      <c r="D37" s="73">
        <v>7</v>
      </c>
      <c r="E37" s="74">
        <v>16</v>
      </c>
      <c r="F37" s="75">
        <v>1</v>
      </c>
      <c r="G37" s="316">
        <v>8.5</v>
      </c>
      <c r="H37" s="317">
        <v>18.5</v>
      </c>
      <c r="I37" s="318">
        <v>1</v>
      </c>
      <c r="J37" s="186">
        <v>10.5</v>
      </c>
      <c r="K37" s="187">
        <v>20.5</v>
      </c>
      <c r="L37" s="188">
        <v>1</v>
      </c>
      <c r="M37" s="73">
        <v>10.5</v>
      </c>
      <c r="N37" s="74">
        <v>20.5</v>
      </c>
      <c r="O37" s="480">
        <v>1</v>
      </c>
      <c r="P37" s="406">
        <v>10.5</v>
      </c>
      <c r="Q37" s="77">
        <v>20.5</v>
      </c>
      <c r="R37" s="78">
        <v>1</v>
      </c>
      <c r="S37" s="225"/>
      <c r="T37" s="226"/>
      <c r="U37" s="248"/>
      <c r="V37" s="173"/>
      <c r="W37" s="174"/>
      <c r="X37" s="175"/>
      <c r="Y37" s="458">
        <f t="shared" si="1"/>
        <v>44</v>
      </c>
      <c r="Z37" s="364"/>
      <c r="AA37" s="14"/>
      <c r="AB37" s="17"/>
      <c r="AC37" s="1031" t="s">
        <v>154</v>
      </c>
      <c r="AD37" s="910" t="e">
        <f>Y7+Y37+Y68+#REF!+#REF!</f>
        <v>#REF!</v>
      </c>
      <c r="AE37" s="17"/>
      <c r="AF37" s="17"/>
    </row>
    <row r="38" spans="1:32">
      <c r="B38" s="1953"/>
      <c r="C38" s="1136" t="s">
        <v>185</v>
      </c>
      <c r="D38" s="273"/>
      <c r="E38" s="274"/>
      <c r="F38" s="275"/>
      <c r="G38" s="273"/>
      <c r="H38" s="274"/>
      <c r="I38" s="275"/>
      <c r="J38" s="936"/>
      <c r="K38" s="937"/>
      <c r="L38" s="938"/>
      <c r="M38" s="241">
        <v>10.5</v>
      </c>
      <c r="N38" s="238">
        <v>20.5</v>
      </c>
      <c r="O38" s="537">
        <v>1</v>
      </c>
      <c r="P38" s="1126">
        <v>7</v>
      </c>
      <c r="Q38" s="1127">
        <v>17</v>
      </c>
      <c r="R38" s="1128">
        <v>1</v>
      </c>
      <c r="S38" s="241">
        <v>10.5</v>
      </c>
      <c r="T38" s="238">
        <v>20.5</v>
      </c>
      <c r="U38" s="246">
        <v>1</v>
      </c>
      <c r="V38" s="330">
        <v>10</v>
      </c>
      <c r="W38" s="331">
        <v>20</v>
      </c>
      <c r="X38" s="655">
        <v>1</v>
      </c>
      <c r="Y38" s="458">
        <f t="shared" si="1"/>
        <v>36</v>
      </c>
      <c r="Z38" s="822"/>
      <c r="AA38" s="366"/>
      <c r="AB38" s="17"/>
      <c r="AC38" s="1137"/>
      <c r="AD38" s="910"/>
      <c r="AE38" s="17"/>
      <c r="AF38" s="17"/>
    </row>
    <row r="39" spans="1:32">
      <c r="A39" s="50"/>
      <c r="B39" s="2117" t="s">
        <v>11</v>
      </c>
      <c r="C39" s="1131" t="s">
        <v>51</v>
      </c>
      <c r="D39" s="356"/>
      <c r="E39" s="323"/>
      <c r="F39" s="359"/>
      <c r="G39" s="354">
        <v>10.5</v>
      </c>
      <c r="H39" s="63">
        <v>20.5</v>
      </c>
      <c r="I39" s="64">
        <v>1</v>
      </c>
      <c r="J39" s="354">
        <v>10.5</v>
      </c>
      <c r="K39" s="63">
        <v>20.5</v>
      </c>
      <c r="L39" s="64">
        <v>1</v>
      </c>
      <c r="M39" s="1129">
        <v>6</v>
      </c>
      <c r="N39" s="1130">
        <v>16</v>
      </c>
      <c r="O39" s="1140">
        <v>1</v>
      </c>
      <c r="P39" s="414"/>
      <c r="Q39" s="166"/>
      <c r="R39" s="167"/>
      <c r="S39" s="354">
        <v>11.5</v>
      </c>
      <c r="T39" s="63">
        <v>20.5</v>
      </c>
      <c r="U39" s="64">
        <v>1</v>
      </c>
      <c r="V39" s="70">
        <v>10</v>
      </c>
      <c r="W39" s="71">
        <v>20</v>
      </c>
      <c r="X39" s="72">
        <v>1</v>
      </c>
      <c r="Y39" s="441">
        <f t="shared" si="1"/>
        <v>44</v>
      </c>
      <c r="Z39" s="365"/>
      <c r="AA39" s="368"/>
      <c r="AB39" s="17"/>
      <c r="AC39" s="922" t="s">
        <v>51</v>
      </c>
      <c r="AD39" s="910">
        <f>Y8+Y39+Y70+Y99+Y129</f>
        <v>104</v>
      </c>
      <c r="AE39" s="17"/>
      <c r="AF39" s="17"/>
    </row>
    <row r="40" spans="1:32">
      <c r="A40" s="50"/>
      <c r="B40" s="2118"/>
      <c r="C40" s="1132" t="s">
        <v>14</v>
      </c>
      <c r="D40" s="241">
        <v>11.5</v>
      </c>
      <c r="E40" s="238">
        <v>20.5</v>
      </c>
      <c r="F40" s="246">
        <v>1</v>
      </c>
      <c r="G40" s="242">
        <v>7</v>
      </c>
      <c r="H40" s="239">
        <v>17</v>
      </c>
      <c r="I40" s="243">
        <v>1</v>
      </c>
      <c r="J40" s="936"/>
      <c r="K40" s="937"/>
      <c r="L40" s="938"/>
      <c r="M40" s="273"/>
      <c r="N40" s="274"/>
      <c r="O40" s="452"/>
      <c r="P40" s="432">
        <v>10.5</v>
      </c>
      <c r="Q40" s="238">
        <v>20.5</v>
      </c>
      <c r="R40" s="246">
        <v>1</v>
      </c>
      <c r="S40" s="241">
        <v>10.5</v>
      </c>
      <c r="T40" s="238">
        <v>20.5</v>
      </c>
      <c r="U40" s="246">
        <v>1</v>
      </c>
      <c r="V40" s="91">
        <v>10</v>
      </c>
      <c r="W40" s="92">
        <v>20</v>
      </c>
      <c r="X40" s="547">
        <v>1</v>
      </c>
      <c r="Y40" s="458">
        <f t="shared" si="1"/>
        <v>44</v>
      </c>
      <c r="Z40" s="364"/>
      <c r="AA40" s="14"/>
      <c r="AB40" s="17"/>
      <c r="AC40" s="928" t="s">
        <v>14</v>
      </c>
      <c r="AD40" s="910">
        <f>Y9+Y40+Y71+Y100+Y130</f>
        <v>124</v>
      </c>
      <c r="AE40" s="17"/>
      <c r="AF40" s="17"/>
    </row>
    <row r="41" spans="1:32">
      <c r="B41" s="2006" t="s">
        <v>52</v>
      </c>
      <c r="C41" s="1135" t="s">
        <v>28</v>
      </c>
      <c r="D41" s="225"/>
      <c r="E41" s="226"/>
      <c r="F41" s="248"/>
      <c r="G41" s="73">
        <v>10.5</v>
      </c>
      <c r="H41" s="74">
        <v>20.5</v>
      </c>
      <c r="I41" s="75">
        <v>1</v>
      </c>
      <c r="J41" s="186">
        <v>11.5</v>
      </c>
      <c r="K41" s="187">
        <v>20.5</v>
      </c>
      <c r="L41" s="188">
        <v>1</v>
      </c>
      <c r="M41" s="262"/>
      <c r="N41" s="171"/>
      <c r="O41" s="324"/>
      <c r="P41" s="191">
        <v>10.5</v>
      </c>
      <c r="Q41" s="187">
        <v>20.5</v>
      </c>
      <c r="R41" s="188">
        <v>1</v>
      </c>
      <c r="S41" s="73">
        <v>10.5</v>
      </c>
      <c r="T41" s="74">
        <v>20.5</v>
      </c>
      <c r="U41" s="75">
        <v>1</v>
      </c>
      <c r="V41" s="244">
        <v>10</v>
      </c>
      <c r="W41" s="237">
        <v>20</v>
      </c>
      <c r="X41" s="546">
        <v>1</v>
      </c>
      <c r="Y41" s="458">
        <f t="shared" si="1"/>
        <v>44</v>
      </c>
      <c r="Z41" s="365"/>
      <c r="AA41" s="368"/>
      <c r="AB41" s="17"/>
      <c r="AC41" s="942" t="s">
        <v>28</v>
      </c>
      <c r="AD41" s="910">
        <f>Y10+Y41+Y72+Y101+Y132</f>
        <v>185</v>
      </c>
      <c r="AE41" s="17"/>
      <c r="AF41" s="17"/>
    </row>
    <row r="42" spans="1:32">
      <c r="B42" s="2006"/>
      <c r="C42" s="930" t="s">
        <v>21</v>
      </c>
      <c r="D42" s="73">
        <v>6</v>
      </c>
      <c r="E42" s="74">
        <v>16</v>
      </c>
      <c r="F42" s="75">
        <v>1</v>
      </c>
      <c r="G42" s="262"/>
      <c r="H42" s="171"/>
      <c r="I42" s="172"/>
      <c r="J42" s="73">
        <v>11.5</v>
      </c>
      <c r="K42" s="74">
        <v>20.5</v>
      </c>
      <c r="L42" s="75">
        <v>1</v>
      </c>
      <c r="M42" s="73">
        <v>10.5</v>
      </c>
      <c r="N42" s="74">
        <v>20.5</v>
      </c>
      <c r="O42" s="480">
        <v>1</v>
      </c>
      <c r="P42" s="170"/>
      <c r="Q42" s="171"/>
      <c r="R42" s="172"/>
      <c r="S42" s="76">
        <v>10.5</v>
      </c>
      <c r="T42" s="77">
        <v>20.5</v>
      </c>
      <c r="U42" s="78">
        <v>1</v>
      </c>
      <c r="V42" s="79">
        <v>10</v>
      </c>
      <c r="W42" s="80">
        <v>20</v>
      </c>
      <c r="X42" s="81">
        <v>1</v>
      </c>
      <c r="Y42" s="458">
        <f t="shared" si="1"/>
        <v>44</v>
      </c>
      <c r="Z42" s="362"/>
      <c r="AA42" s="6"/>
      <c r="AB42" s="17"/>
      <c r="AC42" s="923" t="s">
        <v>21</v>
      </c>
      <c r="AD42" s="910">
        <f>Y11+Y42+Y73+Y102+Y133</f>
        <v>185</v>
      </c>
      <c r="AE42" s="23"/>
      <c r="AF42" s="17"/>
    </row>
    <row r="43" spans="1:32">
      <c r="B43" s="1953"/>
      <c r="C43" s="931" t="s">
        <v>53</v>
      </c>
      <c r="D43" s="82">
        <v>10.5</v>
      </c>
      <c r="E43" s="83">
        <v>20.5</v>
      </c>
      <c r="F43" s="84">
        <v>1</v>
      </c>
      <c r="G43" s="82">
        <v>10.5</v>
      </c>
      <c r="H43" s="83">
        <v>20.5</v>
      </c>
      <c r="I43" s="84">
        <v>1</v>
      </c>
      <c r="J43" s="407">
        <v>6</v>
      </c>
      <c r="K43" s="196">
        <v>16</v>
      </c>
      <c r="L43" s="408">
        <v>1</v>
      </c>
      <c r="M43" s="355"/>
      <c r="N43" s="346"/>
      <c r="O43" s="661"/>
      <c r="P43" s="90">
        <v>11.5</v>
      </c>
      <c r="Q43" s="86">
        <v>20.5</v>
      </c>
      <c r="R43" s="87">
        <v>1</v>
      </c>
      <c r="S43" s="85">
        <v>7</v>
      </c>
      <c r="T43" s="86">
        <v>17</v>
      </c>
      <c r="U43" s="87">
        <v>1</v>
      </c>
      <c r="V43" s="1133"/>
      <c r="W43" s="436"/>
      <c r="X43" s="1134"/>
      <c r="Y43" s="458">
        <f t="shared" si="1"/>
        <v>44</v>
      </c>
      <c r="Z43" s="364"/>
      <c r="AA43" s="14"/>
      <c r="AB43" s="17"/>
      <c r="AC43" s="927" t="s">
        <v>53</v>
      </c>
      <c r="AD43" s="910">
        <f>Y12+Y43+Y74+Y103+Y134</f>
        <v>175</v>
      </c>
      <c r="AE43" s="17"/>
      <c r="AF43" s="17"/>
    </row>
    <row r="44" spans="1:32">
      <c r="B44" s="1831" t="s">
        <v>171</v>
      </c>
      <c r="C44" s="694" t="s">
        <v>25</v>
      </c>
      <c r="D44" s="135">
        <v>6</v>
      </c>
      <c r="E44" s="136">
        <v>16</v>
      </c>
      <c r="F44" s="137">
        <v>1</v>
      </c>
      <c r="G44" s="135">
        <v>10.5</v>
      </c>
      <c r="H44" s="136">
        <v>20.5</v>
      </c>
      <c r="I44" s="137">
        <v>1</v>
      </c>
      <c r="J44" s="586"/>
      <c r="K44" s="570"/>
      <c r="L44" s="592"/>
      <c r="M44" s="135">
        <v>11.5</v>
      </c>
      <c r="N44" s="136">
        <v>20.5</v>
      </c>
      <c r="O44" s="433">
        <v>1</v>
      </c>
      <c r="P44" s="100">
        <v>10.5</v>
      </c>
      <c r="Q44" s="101">
        <v>20.5</v>
      </c>
      <c r="R44" s="102">
        <v>1</v>
      </c>
      <c r="S44" s="135">
        <v>7</v>
      </c>
      <c r="T44" s="136">
        <v>17</v>
      </c>
      <c r="U44" s="137">
        <v>1</v>
      </c>
      <c r="V44" s="168"/>
      <c r="W44" s="169"/>
      <c r="X44" s="315"/>
      <c r="Y44" s="365">
        <f t="shared" si="1"/>
        <v>44</v>
      </c>
      <c r="Z44" s="365"/>
      <c r="AA44" s="368"/>
      <c r="AB44" s="17"/>
      <c r="AC44" s="956" t="s">
        <v>25</v>
      </c>
      <c r="AD44" s="910">
        <f>Y13+Y44+Y75+Y104+Y135</f>
        <v>176</v>
      </c>
      <c r="AE44" s="17"/>
      <c r="AF44" s="17"/>
    </row>
    <row r="45" spans="1:32">
      <c r="B45" s="1831"/>
      <c r="C45" s="695" t="s">
        <v>27</v>
      </c>
      <c r="D45" s="73">
        <v>10.5</v>
      </c>
      <c r="E45" s="74">
        <v>20.5</v>
      </c>
      <c r="F45" s="75">
        <v>1</v>
      </c>
      <c r="G45" s="262"/>
      <c r="H45" s="171"/>
      <c r="I45" s="172"/>
      <c r="J45" s="186">
        <v>10.5</v>
      </c>
      <c r="K45" s="187">
        <v>20.5</v>
      </c>
      <c r="L45" s="188">
        <v>1</v>
      </c>
      <c r="M45" s="316">
        <v>6</v>
      </c>
      <c r="N45" s="317">
        <v>16</v>
      </c>
      <c r="O45" s="638">
        <v>1</v>
      </c>
      <c r="P45" s="417">
        <v>11.5</v>
      </c>
      <c r="Q45" s="74">
        <v>20.5</v>
      </c>
      <c r="R45" s="75">
        <v>1</v>
      </c>
      <c r="S45" s="76">
        <v>10.5</v>
      </c>
      <c r="T45" s="77">
        <v>20.5</v>
      </c>
      <c r="U45" s="78">
        <v>1</v>
      </c>
      <c r="V45" s="173"/>
      <c r="W45" s="174"/>
      <c r="X45" s="360"/>
      <c r="Y45" s="362">
        <f t="shared" si="1"/>
        <v>44</v>
      </c>
      <c r="Z45" s="362"/>
      <c r="AA45" s="6"/>
      <c r="AB45" s="17"/>
      <c r="AC45" s="957" t="s">
        <v>27</v>
      </c>
      <c r="AD45" s="910">
        <f>Y14+Y45+Y76+Y105+Y136</f>
        <v>113</v>
      </c>
      <c r="AE45" s="17"/>
      <c r="AF45" s="17"/>
    </row>
    <row r="46" spans="1:32">
      <c r="B46" s="1831"/>
      <c r="C46" s="695" t="s">
        <v>31</v>
      </c>
      <c r="D46" s="73">
        <v>10.5</v>
      </c>
      <c r="E46" s="74">
        <v>20.5</v>
      </c>
      <c r="F46" s="75">
        <v>1</v>
      </c>
      <c r="G46" s="76">
        <v>10.5</v>
      </c>
      <c r="H46" s="77">
        <v>20.5</v>
      </c>
      <c r="I46" s="78">
        <v>1</v>
      </c>
      <c r="J46" s="424"/>
      <c r="K46" s="198"/>
      <c r="L46" s="431"/>
      <c r="M46" s="73">
        <v>7</v>
      </c>
      <c r="N46" s="74">
        <v>16</v>
      </c>
      <c r="O46" s="480">
        <v>1</v>
      </c>
      <c r="P46" s="418"/>
      <c r="Q46" s="226"/>
      <c r="R46" s="248"/>
      <c r="S46" s="76">
        <v>10.5</v>
      </c>
      <c r="T46" s="77">
        <v>20.5</v>
      </c>
      <c r="U46" s="78">
        <v>1</v>
      </c>
      <c r="V46" s="79">
        <v>10</v>
      </c>
      <c r="W46" s="80">
        <v>20</v>
      </c>
      <c r="X46" s="247">
        <v>1</v>
      </c>
      <c r="Y46" s="362">
        <f t="shared" si="1"/>
        <v>44</v>
      </c>
      <c r="Z46" s="362"/>
      <c r="AA46" s="6"/>
      <c r="AB46" s="17"/>
      <c r="AC46" s="957" t="s">
        <v>31</v>
      </c>
      <c r="AD46" s="910">
        <f>Y16+Y46+Y77+Y106+Y137</f>
        <v>176</v>
      </c>
      <c r="AE46" s="17"/>
      <c r="AF46" s="17"/>
    </row>
    <row r="47" spans="1:32">
      <c r="B47" s="1831"/>
      <c r="C47" s="695" t="s">
        <v>55</v>
      </c>
      <c r="D47" s="225"/>
      <c r="E47" s="226"/>
      <c r="F47" s="248"/>
      <c r="G47" s="186">
        <v>10.5</v>
      </c>
      <c r="H47" s="187">
        <v>20.5</v>
      </c>
      <c r="I47" s="188">
        <v>1</v>
      </c>
      <c r="J47" s="186">
        <v>11.5</v>
      </c>
      <c r="K47" s="187">
        <v>20.5</v>
      </c>
      <c r="L47" s="188">
        <v>1</v>
      </c>
      <c r="M47" s="225"/>
      <c r="N47" s="226"/>
      <c r="O47" s="430"/>
      <c r="P47" s="406">
        <v>10.5</v>
      </c>
      <c r="Q47" s="77">
        <v>20.5</v>
      </c>
      <c r="R47" s="78">
        <v>1</v>
      </c>
      <c r="S47" s="76">
        <v>7</v>
      </c>
      <c r="T47" s="77">
        <v>17</v>
      </c>
      <c r="U47" s="78">
        <v>1</v>
      </c>
      <c r="V47" s="79">
        <v>10</v>
      </c>
      <c r="W47" s="80">
        <v>20</v>
      </c>
      <c r="X47" s="247">
        <v>1</v>
      </c>
      <c r="Y47" s="362">
        <f t="shared" si="1"/>
        <v>44</v>
      </c>
      <c r="Z47" s="362"/>
      <c r="AA47" s="6"/>
      <c r="AB47" s="17"/>
      <c r="AC47" s="957" t="s">
        <v>55</v>
      </c>
      <c r="AD47" s="910">
        <f>Y17+Y47+Y78+Y107+Y138</f>
        <v>153</v>
      </c>
      <c r="AE47" s="17"/>
      <c r="AF47" s="17"/>
    </row>
    <row r="48" spans="1:32">
      <c r="B48" s="1831"/>
      <c r="C48" s="695" t="s">
        <v>186</v>
      </c>
      <c r="D48" s="73">
        <v>10.5</v>
      </c>
      <c r="E48" s="74">
        <v>20.5</v>
      </c>
      <c r="F48" s="75">
        <v>1</v>
      </c>
      <c r="G48" s="225"/>
      <c r="H48" s="226"/>
      <c r="I48" s="248"/>
      <c r="J48" s="186">
        <v>7</v>
      </c>
      <c r="K48" s="187">
        <v>16</v>
      </c>
      <c r="L48" s="188">
        <v>1</v>
      </c>
      <c r="M48" s="73">
        <v>10.5</v>
      </c>
      <c r="N48" s="74">
        <v>20.5</v>
      </c>
      <c r="O48" s="480">
        <v>1</v>
      </c>
      <c r="P48" s="418"/>
      <c r="Q48" s="226"/>
      <c r="R48" s="248"/>
      <c r="S48" s="76">
        <v>10.5</v>
      </c>
      <c r="T48" s="77">
        <v>20.5</v>
      </c>
      <c r="U48" s="78">
        <v>1</v>
      </c>
      <c r="V48" s="79">
        <v>10</v>
      </c>
      <c r="W48" s="80">
        <v>20</v>
      </c>
      <c r="X48" s="247">
        <v>1</v>
      </c>
      <c r="Y48" s="362">
        <f t="shared" si="1"/>
        <v>44</v>
      </c>
      <c r="Z48" s="362"/>
      <c r="AA48" s="6"/>
      <c r="AB48" s="17"/>
      <c r="AC48" s="957" t="str">
        <f>C48</f>
        <v>LORENA FARFAN</v>
      </c>
      <c r="AD48" s="910">
        <f>Y18+Y48+Y79+Y108+Y139</f>
        <v>176</v>
      </c>
      <c r="AE48" s="17"/>
      <c r="AF48" s="17"/>
    </row>
    <row r="49" spans="2:33">
      <c r="B49" s="1831"/>
      <c r="C49" s="695" t="s">
        <v>87</v>
      </c>
      <c r="D49" s="73">
        <v>10.5</v>
      </c>
      <c r="E49" s="74">
        <v>20.5</v>
      </c>
      <c r="F49" s="75">
        <v>1</v>
      </c>
      <c r="G49" s="73">
        <v>11.5</v>
      </c>
      <c r="H49" s="74">
        <v>20.5</v>
      </c>
      <c r="I49" s="75">
        <v>1</v>
      </c>
      <c r="J49" s="424"/>
      <c r="K49" s="198"/>
      <c r="L49" s="431"/>
      <c r="M49" s="73">
        <v>10.5</v>
      </c>
      <c r="N49" s="74">
        <v>20.5</v>
      </c>
      <c r="O49" s="480">
        <v>1</v>
      </c>
      <c r="P49" s="1168">
        <v>10.5</v>
      </c>
      <c r="Q49" s="1169">
        <v>20.5</v>
      </c>
      <c r="R49" s="1170">
        <v>1</v>
      </c>
      <c r="S49" s="1171">
        <v>10.5</v>
      </c>
      <c r="T49" s="1169">
        <v>20.5</v>
      </c>
      <c r="U49" s="1170">
        <v>1</v>
      </c>
      <c r="V49" s="173"/>
      <c r="W49" s="174"/>
      <c r="X49" s="360"/>
      <c r="Y49" s="362">
        <f t="shared" si="1"/>
        <v>44</v>
      </c>
      <c r="Z49" s="362"/>
      <c r="AA49" s="6"/>
      <c r="AB49" s="17"/>
      <c r="AC49" s="957" t="s">
        <v>87</v>
      </c>
      <c r="AD49" s="910">
        <f>Y19+Y49+Y80+Y109+Y140</f>
        <v>113</v>
      </c>
      <c r="AE49" s="23"/>
      <c r="AF49" s="17"/>
      <c r="AG49" s="50"/>
    </row>
    <row r="50" spans="2:33">
      <c r="B50" s="1831"/>
      <c r="C50" s="695" t="s">
        <v>104</v>
      </c>
      <c r="D50" s="225"/>
      <c r="E50" s="226"/>
      <c r="F50" s="248"/>
      <c r="G50" s="76">
        <v>7</v>
      </c>
      <c r="H50" s="77">
        <v>17</v>
      </c>
      <c r="I50" s="78">
        <v>1</v>
      </c>
      <c r="J50" s="186">
        <v>11.5</v>
      </c>
      <c r="K50" s="187">
        <v>20.5</v>
      </c>
      <c r="L50" s="188">
        <v>1</v>
      </c>
      <c r="M50" s="73">
        <v>10.5</v>
      </c>
      <c r="N50" s="74">
        <v>20.5</v>
      </c>
      <c r="O50" s="480">
        <v>1</v>
      </c>
      <c r="P50" s="406">
        <v>10.5</v>
      </c>
      <c r="Q50" s="77">
        <v>20.5</v>
      </c>
      <c r="R50" s="78">
        <v>1</v>
      </c>
      <c r="S50" s="76">
        <v>7</v>
      </c>
      <c r="T50" s="77">
        <v>17</v>
      </c>
      <c r="U50" s="78">
        <v>1</v>
      </c>
      <c r="V50" s="173"/>
      <c r="W50" s="174"/>
      <c r="X50" s="360"/>
      <c r="Y50" s="364">
        <f t="shared" si="1"/>
        <v>44</v>
      </c>
      <c r="Z50" s="362"/>
      <c r="AA50" s="6"/>
      <c r="AB50" s="17"/>
      <c r="AC50" s="957" t="s">
        <v>104</v>
      </c>
      <c r="AD50" s="910">
        <f>Y20+Y50+Y81+Y110+Y141</f>
        <v>185</v>
      </c>
      <c r="AG50" s="50"/>
    </row>
    <row r="51" spans="2:33">
      <c r="B51" s="1110"/>
      <c r="C51" s="561" t="s">
        <v>187</v>
      </c>
      <c r="D51" s="273"/>
      <c r="E51" s="274"/>
      <c r="F51" s="275"/>
      <c r="G51" s="273"/>
      <c r="H51" s="274"/>
      <c r="I51" s="275"/>
      <c r="J51" s="606">
        <v>7</v>
      </c>
      <c r="K51" s="607">
        <v>16</v>
      </c>
      <c r="L51" s="905">
        <v>1</v>
      </c>
      <c r="M51" s="241">
        <v>10.5</v>
      </c>
      <c r="N51" s="238">
        <v>20.5</v>
      </c>
      <c r="O51" s="537">
        <v>1</v>
      </c>
      <c r="P51" s="1126">
        <v>7</v>
      </c>
      <c r="Q51" s="1127">
        <v>17</v>
      </c>
      <c r="R51" s="1128">
        <v>1</v>
      </c>
      <c r="S51" s="242">
        <v>10.5</v>
      </c>
      <c r="T51" s="239">
        <v>20.5</v>
      </c>
      <c r="U51" s="243">
        <v>1</v>
      </c>
      <c r="V51" s="330">
        <v>10</v>
      </c>
      <c r="W51" s="331">
        <v>20</v>
      </c>
      <c r="X51" s="332">
        <v>1</v>
      </c>
      <c r="Y51" s="363">
        <f t="shared" si="1"/>
        <v>44</v>
      </c>
      <c r="Z51" s="363"/>
      <c r="AA51" s="369"/>
      <c r="AB51" s="17"/>
      <c r="AC51" s="958" t="str">
        <f>C51</f>
        <v xml:space="preserve">ANDREA MONROY </v>
      </c>
      <c r="AD51" s="1117">
        <f>Y21+Y51+Y83+Y112+Y143</f>
        <v>105</v>
      </c>
      <c r="AE51" s="50"/>
      <c r="AF51" s="50"/>
      <c r="AG51" s="50"/>
    </row>
    <row r="52" spans="2:33">
      <c r="B52" s="1830" t="s">
        <v>116</v>
      </c>
      <c r="C52" s="1111" t="s">
        <v>32</v>
      </c>
      <c r="D52" s="354">
        <v>6</v>
      </c>
      <c r="E52" s="63">
        <v>12</v>
      </c>
      <c r="F52" s="64"/>
      <c r="G52" s="218"/>
      <c r="H52" s="166"/>
      <c r="I52" s="167"/>
      <c r="J52" s="1091">
        <v>15.5</v>
      </c>
      <c r="K52" s="1092">
        <v>20.5</v>
      </c>
      <c r="L52" s="1094"/>
      <c r="M52" s="356"/>
      <c r="N52" s="323"/>
      <c r="O52" s="768"/>
      <c r="P52" s="662">
        <v>7</v>
      </c>
      <c r="Q52" s="663">
        <v>12</v>
      </c>
      <c r="R52" s="691"/>
      <c r="S52" s="65">
        <v>14.5</v>
      </c>
      <c r="T52" s="66">
        <v>20.5</v>
      </c>
      <c r="U52" s="67">
        <v>1</v>
      </c>
      <c r="V52" s="70">
        <v>8</v>
      </c>
      <c r="W52" s="71">
        <v>16</v>
      </c>
      <c r="X52" s="151">
        <v>1</v>
      </c>
      <c r="Y52" s="361">
        <f t="shared" si="1"/>
        <v>28</v>
      </c>
      <c r="Z52" s="361"/>
      <c r="AA52" s="5"/>
      <c r="AB52" s="17"/>
      <c r="AC52" s="1111" t="s">
        <v>32</v>
      </c>
      <c r="AD52" s="1115">
        <f t="shared" ref="AD52:AD61" si="2">Y21+Y52+Y83+Y112+Y143</f>
        <v>89</v>
      </c>
      <c r="AE52" s="20">
        <v>120</v>
      </c>
      <c r="AF52" s="268">
        <f>AE52-AD52</f>
        <v>31</v>
      </c>
      <c r="AG52" s="50"/>
    </row>
    <row r="53" spans="2:33">
      <c r="B53" s="1831"/>
      <c r="C53" s="695" t="s">
        <v>114</v>
      </c>
      <c r="D53" s="73">
        <v>7</v>
      </c>
      <c r="E53" s="74">
        <v>12</v>
      </c>
      <c r="F53" s="75"/>
      <c r="G53" s="262"/>
      <c r="H53" s="171"/>
      <c r="I53" s="172"/>
      <c r="J53" s="186">
        <v>15.5</v>
      </c>
      <c r="K53" s="187">
        <v>20.5</v>
      </c>
      <c r="L53" s="188"/>
      <c r="M53" s="225"/>
      <c r="N53" s="226"/>
      <c r="O53" s="430"/>
      <c r="P53" s="406">
        <v>15.5</v>
      </c>
      <c r="Q53" s="77">
        <v>20.5</v>
      </c>
      <c r="R53" s="78"/>
      <c r="S53" s="76">
        <v>13.5</v>
      </c>
      <c r="T53" s="77">
        <v>20.5</v>
      </c>
      <c r="U53" s="78">
        <v>1</v>
      </c>
      <c r="V53" s="79">
        <v>8</v>
      </c>
      <c r="W53" s="80">
        <v>17</v>
      </c>
      <c r="X53" s="247">
        <v>1</v>
      </c>
      <c r="Y53" s="362">
        <f t="shared" si="1"/>
        <v>29</v>
      </c>
      <c r="Z53" s="362"/>
      <c r="AA53" s="6"/>
      <c r="AB53" s="17"/>
      <c r="AC53" s="695" t="s">
        <v>114</v>
      </c>
      <c r="AD53" s="707">
        <f t="shared" si="2"/>
        <v>122</v>
      </c>
      <c r="AE53" s="18">
        <v>120</v>
      </c>
      <c r="AF53" s="871">
        <f t="shared" ref="AF53:AF60" si="3">AE53-AD53</f>
        <v>-2</v>
      </c>
      <c r="AG53" s="50"/>
    </row>
    <row r="54" spans="2:33">
      <c r="B54" s="1831"/>
      <c r="C54" s="695" t="s">
        <v>89</v>
      </c>
      <c r="D54" s="73">
        <v>16.5</v>
      </c>
      <c r="E54" s="74">
        <v>20.5</v>
      </c>
      <c r="F54" s="75"/>
      <c r="G54" s="76">
        <v>12.5</v>
      </c>
      <c r="H54" s="77">
        <v>20.5</v>
      </c>
      <c r="I54" s="78">
        <v>1</v>
      </c>
      <c r="J54" s="424"/>
      <c r="K54" s="198"/>
      <c r="L54" s="431"/>
      <c r="M54" s="73">
        <v>7</v>
      </c>
      <c r="N54" s="74">
        <v>12</v>
      </c>
      <c r="O54" s="480"/>
      <c r="P54" s="170"/>
      <c r="Q54" s="171"/>
      <c r="R54" s="172"/>
      <c r="S54" s="76">
        <v>14.5</v>
      </c>
      <c r="T54" s="77">
        <v>20.5</v>
      </c>
      <c r="U54" s="78">
        <v>1</v>
      </c>
      <c r="V54" s="79">
        <v>12</v>
      </c>
      <c r="W54" s="80">
        <v>20</v>
      </c>
      <c r="X54" s="247">
        <v>1</v>
      </c>
      <c r="Y54" s="362">
        <f t="shared" si="1"/>
        <v>28</v>
      </c>
      <c r="Z54" s="362"/>
      <c r="AA54" s="6"/>
      <c r="AB54" s="17"/>
      <c r="AC54" s="695" t="s">
        <v>89</v>
      </c>
      <c r="AD54" s="707">
        <f t="shared" si="2"/>
        <v>119</v>
      </c>
      <c r="AE54" s="1118">
        <v>120</v>
      </c>
      <c r="AF54" s="871">
        <f t="shared" si="3"/>
        <v>1</v>
      </c>
      <c r="AG54" s="50"/>
    </row>
    <row r="55" spans="2:33">
      <c r="B55" s="1831"/>
      <c r="C55" s="695" t="s">
        <v>38</v>
      </c>
      <c r="D55" s="73">
        <v>16.5</v>
      </c>
      <c r="E55" s="74">
        <v>20.5</v>
      </c>
      <c r="F55" s="75"/>
      <c r="G55" s="76">
        <v>15.5</v>
      </c>
      <c r="H55" s="77">
        <v>20.5</v>
      </c>
      <c r="I55" s="78"/>
      <c r="J55" s="186">
        <v>6</v>
      </c>
      <c r="K55" s="187">
        <v>14</v>
      </c>
      <c r="L55" s="188">
        <v>1</v>
      </c>
      <c r="M55" s="225"/>
      <c r="N55" s="226"/>
      <c r="O55" s="430"/>
      <c r="P55" s="170"/>
      <c r="Q55" s="171"/>
      <c r="R55" s="172"/>
      <c r="S55" s="76">
        <v>14.5</v>
      </c>
      <c r="T55" s="77">
        <v>20.5</v>
      </c>
      <c r="U55" s="78">
        <v>1</v>
      </c>
      <c r="V55" s="79">
        <v>13</v>
      </c>
      <c r="W55" s="80">
        <v>20</v>
      </c>
      <c r="X55" s="247">
        <v>1</v>
      </c>
      <c r="Y55" s="362">
        <f t="shared" si="1"/>
        <v>27</v>
      </c>
      <c r="Z55" s="362"/>
      <c r="AA55" s="6"/>
      <c r="AB55" s="17"/>
      <c r="AC55" s="695" t="s">
        <v>38</v>
      </c>
      <c r="AD55" s="1116">
        <f t="shared" si="2"/>
        <v>113</v>
      </c>
      <c r="AE55" s="1119">
        <v>120</v>
      </c>
      <c r="AF55" s="871">
        <f t="shared" si="3"/>
        <v>7</v>
      </c>
      <c r="AG55" s="50"/>
    </row>
    <row r="56" spans="2:33">
      <c r="B56" s="1831"/>
      <c r="C56" s="695" t="s">
        <v>188</v>
      </c>
      <c r="D56" s="225"/>
      <c r="E56" s="226"/>
      <c r="F56" s="248"/>
      <c r="G56" s="225"/>
      <c r="H56" s="226"/>
      <c r="I56" s="248"/>
      <c r="J56" s="186">
        <v>15.5</v>
      </c>
      <c r="K56" s="187">
        <v>20.5</v>
      </c>
      <c r="L56" s="188"/>
      <c r="M56" s="73">
        <v>16.5</v>
      </c>
      <c r="N56" s="74">
        <v>20.5</v>
      </c>
      <c r="O56" s="480"/>
      <c r="P56" s="1139">
        <v>7</v>
      </c>
      <c r="Q56" s="317">
        <v>12</v>
      </c>
      <c r="R56" s="318"/>
      <c r="S56" s="73">
        <v>7</v>
      </c>
      <c r="T56" s="74">
        <v>16</v>
      </c>
      <c r="U56" s="75">
        <v>1</v>
      </c>
      <c r="V56" s="79">
        <v>13</v>
      </c>
      <c r="W56" s="80">
        <v>20</v>
      </c>
      <c r="X56" s="247">
        <v>1</v>
      </c>
      <c r="Y56" s="362">
        <f t="shared" si="1"/>
        <v>28</v>
      </c>
      <c r="Z56" s="362"/>
      <c r="AA56" s="6"/>
      <c r="AB56" s="17"/>
      <c r="AC56" s="695" t="s">
        <v>189</v>
      </c>
      <c r="AD56" s="707">
        <f t="shared" si="2"/>
        <v>127</v>
      </c>
      <c r="AE56" s="1">
        <v>120</v>
      </c>
      <c r="AF56" s="871">
        <f t="shared" si="3"/>
        <v>-7</v>
      </c>
      <c r="AG56" s="50"/>
    </row>
    <row r="57" spans="2:33">
      <c r="B57" s="1831"/>
      <c r="C57" s="695" t="s">
        <v>36</v>
      </c>
      <c r="D57" s="73">
        <v>16.5</v>
      </c>
      <c r="E57" s="74">
        <v>20.5</v>
      </c>
      <c r="F57" s="75"/>
      <c r="G57" s="73">
        <v>7</v>
      </c>
      <c r="H57" s="74">
        <v>12</v>
      </c>
      <c r="I57" s="75"/>
      <c r="J57" s="424"/>
      <c r="K57" s="198"/>
      <c r="L57" s="431"/>
      <c r="M57" s="225"/>
      <c r="N57" s="226"/>
      <c r="O57" s="430"/>
      <c r="P57" s="1139">
        <v>7</v>
      </c>
      <c r="Q57" s="317">
        <v>12</v>
      </c>
      <c r="R57" s="318"/>
      <c r="S57" s="73">
        <v>14.5</v>
      </c>
      <c r="T57" s="74">
        <v>20.5</v>
      </c>
      <c r="U57" s="75">
        <v>1</v>
      </c>
      <c r="V57" s="79">
        <v>8</v>
      </c>
      <c r="W57" s="80">
        <v>17</v>
      </c>
      <c r="X57" s="247">
        <v>1</v>
      </c>
      <c r="Y57" s="362">
        <f t="shared" si="1"/>
        <v>27</v>
      </c>
      <c r="Z57" s="362"/>
      <c r="AA57" s="6"/>
      <c r="AB57" s="17"/>
      <c r="AC57" s="695" t="s">
        <v>36</v>
      </c>
      <c r="AD57" s="1116">
        <f t="shared" si="2"/>
        <v>119</v>
      </c>
      <c r="AE57" s="1119">
        <v>120</v>
      </c>
      <c r="AF57" s="871">
        <f t="shared" si="3"/>
        <v>1</v>
      </c>
      <c r="AG57" s="50"/>
    </row>
    <row r="58" spans="2:33">
      <c r="B58" s="1831"/>
      <c r="C58" s="695" t="s">
        <v>169</v>
      </c>
      <c r="D58" s="73">
        <v>7</v>
      </c>
      <c r="E58" s="74">
        <v>12</v>
      </c>
      <c r="F58" s="75"/>
      <c r="G58" s="225"/>
      <c r="H58" s="226"/>
      <c r="I58" s="248"/>
      <c r="J58" s="186">
        <v>16.5</v>
      </c>
      <c r="K58" s="187">
        <v>20.5</v>
      </c>
      <c r="L58" s="188"/>
      <c r="M58" s="73">
        <v>16.5</v>
      </c>
      <c r="N58" s="74">
        <v>20.5</v>
      </c>
      <c r="O58" s="480"/>
      <c r="P58" s="418"/>
      <c r="Q58" s="226"/>
      <c r="R58" s="248"/>
      <c r="S58" s="73">
        <v>13.5</v>
      </c>
      <c r="T58" s="74">
        <v>20.5</v>
      </c>
      <c r="U58" s="75">
        <v>1</v>
      </c>
      <c r="V58" s="79">
        <v>12</v>
      </c>
      <c r="W58" s="80">
        <v>20</v>
      </c>
      <c r="X58" s="247">
        <v>1</v>
      </c>
      <c r="Y58" s="362">
        <f t="shared" si="1"/>
        <v>26</v>
      </c>
      <c r="Z58" s="362"/>
      <c r="AA58" s="6"/>
      <c r="AB58" s="17"/>
      <c r="AC58" s="695" t="s">
        <v>169</v>
      </c>
      <c r="AD58" s="707">
        <f t="shared" si="2"/>
        <v>123</v>
      </c>
      <c r="AE58" s="1">
        <v>120</v>
      </c>
      <c r="AF58" s="871">
        <f t="shared" si="3"/>
        <v>-3</v>
      </c>
      <c r="AG58" s="50"/>
    </row>
    <row r="59" spans="2:33">
      <c r="B59" s="1832"/>
      <c r="C59" s="561" t="s">
        <v>117</v>
      </c>
      <c r="D59" s="606">
        <v>12.5</v>
      </c>
      <c r="E59" s="607">
        <v>20.5</v>
      </c>
      <c r="F59" s="905">
        <v>1</v>
      </c>
      <c r="G59" s="936"/>
      <c r="H59" s="937"/>
      <c r="I59" s="938"/>
      <c r="J59" s="606">
        <v>16.5</v>
      </c>
      <c r="K59" s="607">
        <v>20.5</v>
      </c>
      <c r="L59" s="905"/>
      <c r="M59" s="606">
        <v>16.5</v>
      </c>
      <c r="N59" s="607">
        <v>20.5</v>
      </c>
      <c r="O59" s="608"/>
      <c r="P59" s="945"/>
      <c r="Q59" s="937"/>
      <c r="R59" s="938"/>
      <c r="S59" s="606">
        <v>13.5</v>
      </c>
      <c r="T59" s="607">
        <v>20.5</v>
      </c>
      <c r="U59" s="905">
        <v>1</v>
      </c>
      <c r="V59" s="330">
        <v>12</v>
      </c>
      <c r="W59" s="331">
        <v>20</v>
      </c>
      <c r="X59" s="332">
        <v>1</v>
      </c>
      <c r="Y59" s="363">
        <f t="shared" si="1"/>
        <v>28</v>
      </c>
      <c r="Z59" s="363"/>
      <c r="AA59" s="369"/>
      <c r="AB59" s="17"/>
      <c r="AC59" s="932" t="s">
        <v>117</v>
      </c>
      <c r="AD59" s="1224">
        <f t="shared" si="2"/>
        <v>73</v>
      </c>
      <c r="AE59" s="1119">
        <v>120</v>
      </c>
      <c r="AF59" s="1225">
        <f t="shared" si="3"/>
        <v>47</v>
      </c>
      <c r="AG59" s="50"/>
    </row>
    <row r="60" spans="2:33">
      <c r="B60" s="32"/>
      <c r="C60" s="17"/>
      <c r="D60" s="2077">
        <f t="shared" ref="D60" si="4">COUNT(D36:D59)</f>
        <v>17</v>
      </c>
      <c r="E60" s="1829"/>
      <c r="F60" s="1852"/>
      <c r="G60" s="2077">
        <f t="shared" ref="G60:V60" si="5">COUNT(G36:G59)</f>
        <v>14</v>
      </c>
      <c r="H60" s="1829"/>
      <c r="I60" s="1852"/>
      <c r="J60" s="2077">
        <f t="shared" si="5"/>
        <v>17</v>
      </c>
      <c r="K60" s="1829"/>
      <c r="L60" s="1852"/>
      <c r="M60" s="2077">
        <f t="shared" si="5"/>
        <v>16</v>
      </c>
      <c r="N60" s="1829"/>
      <c r="O60" s="1852"/>
      <c r="P60" s="2077">
        <f t="shared" si="5"/>
        <v>16</v>
      </c>
      <c r="Q60" s="1829"/>
      <c r="R60" s="1852"/>
      <c r="S60" s="2077">
        <f t="shared" si="5"/>
        <v>22</v>
      </c>
      <c r="T60" s="1829"/>
      <c r="U60" s="1852"/>
      <c r="V60" s="2077">
        <f t="shared" si="5"/>
        <v>17</v>
      </c>
      <c r="W60" s="1829"/>
      <c r="X60" s="1852"/>
      <c r="Y60" s="23"/>
      <c r="Z60" s="23"/>
      <c r="AA60" s="17"/>
      <c r="AB60" s="17"/>
      <c r="AC60" s="1223" t="s">
        <v>190</v>
      </c>
      <c r="AD60" s="1224">
        <f t="shared" si="2"/>
        <v>50</v>
      </c>
      <c r="AE60" s="1119">
        <v>48</v>
      </c>
      <c r="AF60" s="1225">
        <f t="shared" si="3"/>
        <v>-2</v>
      </c>
      <c r="AG60" s="50"/>
    </row>
    <row r="61" spans="2:33"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AB61" s="17"/>
      <c r="AC61" s="17" t="s">
        <v>191</v>
      </c>
      <c r="AD61" s="1224">
        <f t="shared" si="2"/>
        <v>34</v>
      </c>
      <c r="AE61" s="1119">
        <v>48</v>
      </c>
      <c r="AF61" s="17"/>
    </row>
    <row r="62" spans="2:33">
      <c r="C62" s="50"/>
      <c r="D62" s="2132" t="s">
        <v>192</v>
      </c>
      <c r="E62" s="2133"/>
      <c r="F62" s="2134"/>
      <c r="G62" s="2126"/>
      <c r="H62" s="2126"/>
      <c r="I62" s="2126"/>
      <c r="J62" s="2126"/>
      <c r="K62" s="2126"/>
      <c r="L62" s="2126"/>
      <c r="M62" s="2126"/>
      <c r="N62" s="2126"/>
      <c r="O62" s="2126"/>
      <c r="P62" s="840"/>
      <c r="Q62" s="50"/>
      <c r="R62" s="50"/>
      <c r="S62" s="50"/>
      <c r="T62" s="50"/>
      <c r="U62" s="50"/>
      <c r="V62" s="50"/>
      <c r="W62" s="50"/>
      <c r="X62" s="50"/>
      <c r="Y62" s="50"/>
      <c r="AB62" s="17"/>
      <c r="AC62" s="17"/>
      <c r="AD62" s="17"/>
      <c r="AE62" s="17"/>
      <c r="AF62" s="17"/>
    </row>
    <row r="63" spans="2:33" ht="15" customHeight="1">
      <c r="B63" s="1817" t="str">
        <f>B33</f>
        <v xml:space="preserve">FEBRERO </v>
      </c>
      <c r="C63" s="1817"/>
      <c r="D63" s="2051" t="s">
        <v>193</v>
      </c>
      <c r="E63" s="2052"/>
      <c r="F63" s="2053"/>
      <c r="G63" s="1088"/>
      <c r="H63" s="1088"/>
      <c r="I63" s="1088"/>
      <c r="J63" s="2044" t="s">
        <v>194</v>
      </c>
      <c r="K63" s="2045"/>
      <c r="L63" s="2045"/>
      <c r="M63" s="2130"/>
      <c r="N63" s="2130"/>
      <c r="O63" s="2130"/>
      <c r="P63" s="2130"/>
      <c r="Q63" s="2130"/>
      <c r="R63" s="2131"/>
      <c r="S63" s="1104"/>
      <c r="T63" s="1104"/>
      <c r="U63" s="1104"/>
      <c r="V63" s="1089"/>
      <c r="W63" s="1089"/>
      <c r="X63" s="1089"/>
      <c r="Y63" s="50"/>
      <c r="Z63" s="50"/>
      <c r="AA63" s="47"/>
      <c r="AB63" s="17"/>
      <c r="AC63" s="17"/>
      <c r="AD63" s="17"/>
      <c r="AE63" s="17"/>
      <c r="AF63" s="17"/>
    </row>
    <row r="64" spans="2:33" ht="15" customHeight="1">
      <c r="B64" s="1817"/>
      <c r="C64" s="1817"/>
      <c r="D64" s="2050" t="s">
        <v>195</v>
      </c>
      <c r="E64" s="2014"/>
      <c r="F64" s="2103"/>
      <c r="G64" s="1955"/>
      <c r="H64" s="1955"/>
      <c r="I64" s="1955"/>
      <c r="J64" s="2078" t="s">
        <v>159</v>
      </c>
      <c r="K64" s="2079"/>
      <c r="L64" s="2080"/>
      <c r="M64" s="2084" t="s">
        <v>196</v>
      </c>
      <c r="N64" s="2084"/>
      <c r="O64" s="2084"/>
      <c r="P64" s="2016"/>
      <c r="Q64" s="2015"/>
      <c r="R64" s="2017"/>
      <c r="S64" s="1983"/>
      <c r="T64" s="1983"/>
      <c r="U64" s="1983"/>
      <c r="V64" s="1874"/>
      <c r="W64" s="1875"/>
      <c r="X64" s="1876"/>
      <c r="Y64" s="50"/>
      <c r="Z64" s="50"/>
      <c r="AA64" s="47"/>
      <c r="AB64" s="17"/>
      <c r="AC64" s="17"/>
      <c r="AD64" s="17"/>
      <c r="AE64" s="17"/>
      <c r="AF64" s="17"/>
    </row>
    <row r="65" spans="2:32" ht="15" customHeight="1">
      <c r="B65" s="1818"/>
      <c r="C65" s="1818"/>
      <c r="D65" s="2127" t="s">
        <v>173</v>
      </c>
      <c r="E65" s="2128"/>
      <c r="F65" s="2129"/>
      <c r="G65" s="2014"/>
      <c r="H65" s="2014"/>
      <c r="I65" s="2014"/>
      <c r="J65" s="2081"/>
      <c r="K65" s="2082"/>
      <c r="L65" s="2083"/>
      <c r="M65" s="2084"/>
      <c r="N65" s="2084"/>
      <c r="O65" s="2084"/>
      <c r="P65" s="2016"/>
      <c r="Q65" s="2015"/>
      <c r="R65" s="2017"/>
      <c r="S65" s="2085"/>
      <c r="T65" s="2085"/>
      <c r="U65" s="2085"/>
      <c r="V65" s="2016"/>
      <c r="W65" s="2015"/>
      <c r="X65" s="2017"/>
      <c r="Y65" s="17"/>
      <c r="Z65" s="17"/>
      <c r="AA65" s="17"/>
      <c r="AB65" s="17"/>
      <c r="AC65" s="17"/>
      <c r="AD65" s="17"/>
      <c r="AE65" s="17"/>
      <c r="AF65" s="17"/>
    </row>
    <row r="66" spans="2:32" ht="15" customHeight="1">
      <c r="B66" s="19" t="s">
        <v>1</v>
      </c>
      <c r="C66" s="19" t="s">
        <v>2</v>
      </c>
      <c r="D66" s="1883" t="s">
        <v>197</v>
      </c>
      <c r="E66" s="1884"/>
      <c r="F66" s="1885"/>
      <c r="G66" s="1881" t="s">
        <v>198</v>
      </c>
      <c r="H66" s="1881"/>
      <c r="I66" s="1881"/>
      <c r="J66" s="1913" t="s">
        <v>199</v>
      </c>
      <c r="K66" s="1950"/>
      <c r="L66" s="2037"/>
      <c r="M66" s="1884" t="s">
        <v>200</v>
      </c>
      <c r="N66" s="1884"/>
      <c r="O66" s="1884"/>
      <c r="P66" s="1880" t="s">
        <v>201</v>
      </c>
      <c r="Q66" s="1881"/>
      <c r="R66" s="1881"/>
      <c r="S66" s="1880" t="s">
        <v>202</v>
      </c>
      <c r="T66" s="1881"/>
      <c r="U66" s="1881"/>
      <c r="V66" s="1867" t="s">
        <v>203</v>
      </c>
      <c r="W66" s="1868"/>
      <c r="X66" s="1868"/>
      <c r="Y66" s="19" t="s">
        <v>5</v>
      </c>
      <c r="Z66" s="19" t="s">
        <v>6</v>
      </c>
      <c r="AA66" s="18" t="s">
        <v>7</v>
      </c>
      <c r="AB66" s="17"/>
      <c r="AC66" s="17"/>
      <c r="AD66" s="17"/>
      <c r="AE66" s="17"/>
      <c r="AF66" s="17"/>
    </row>
    <row r="67" spans="2:32">
      <c r="B67" s="1952" t="s">
        <v>8</v>
      </c>
      <c r="C67" s="925" t="s">
        <v>9</v>
      </c>
      <c r="D67" s="135">
        <v>10.5</v>
      </c>
      <c r="E67" s="136">
        <v>20.5</v>
      </c>
      <c r="F67" s="137">
        <v>1</v>
      </c>
      <c r="G67" s="249"/>
      <c r="H67" s="250"/>
      <c r="I67" s="263"/>
      <c r="J67" s="953">
        <v>11.5</v>
      </c>
      <c r="K67" s="954">
        <v>20.5</v>
      </c>
      <c r="L67" s="1042">
        <v>1</v>
      </c>
      <c r="M67" s="1185">
        <v>10.5</v>
      </c>
      <c r="N67" s="1164">
        <v>20.5</v>
      </c>
      <c r="O67" s="1165">
        <v>1</v>
      </c>
      <c r="P67" s="240">
        <v>10.5</v>
      </c>
      <c r="Q67" s="101">
        <v>20.5</v>
      </c>
      <c r="R67" s="102">
        <v>1</v>
      </c>
      <c r="S67" s="240">
        <v>7</v>
      </c>
      <c r="T67" s="101">
        <v>17</v>
      </c>
      <c r="U67" s="138">
        <v>1</v>
      </c>
      <c r="V67" s="1191"/>
      <c r="W67" s="683"/>
      <c r="X67" s="911"/>
      <c r="Y67" s="441">
        <f t="shared" ref="Y67:Y90" si="6">SUM(E67-D67-F67+H67-G67-I67+K67-J67-L67+N67-M67-O67+Q67-P67-R67+T67-S67-U67+W67-V67-X67)</f>
        <v>44</v>
      </c>
      <c r="Z67" s="365"/>
      <c r="AA67" s="368"/>
      <c r="AB67" s="17"/>
      <c r="AC67" s="17"/>
      <c r="AD67" s="17"/>
      <c r="AE67" s="17"/>
      <c r="AF67" s="17"/>
    </row>
    <row r="68" spans="2:32" ht="15">
      <c r="B68" s="2006"/>
      <c r="C68" s="1090" t="s">
        <v>154</v>
      </c>
      <c r="D68" s="82">
        <v>10.5</v>
      </c>
      <c r="E68" s="83">
        <v>20.5</v>
      </c>
      <c r="F68" s="84">
        <v>1</v>
      </c>
      <c r="G68" s="209"/>
      <c r="H68" s="210"/>
      <c r="I68" s="261"/>
      <c r="J68" s="193"/>
      <c r="K68" s="194"/>
      <c r="L68" s="195"/>
      <c r="M68" s="82">
        <v>9</v>
      </c>
      <c r="N68" s="83">
        <v>19</v>
      </c>
      <c r="O68" s="84">
        <v>1</v>
      </c>
      <c r="P68" s="85">
        <v>11.5</v>
      </c>
      <c r="Q68" s="86">
        <v>20.5</v>
      </c>
      <c r="R68" s="87">
        <v>1</v>
      </c>
      <c r="S68" s="85">
        <v>10.5</v>
      </c>
      <c r="T68" s="86">
        <v>20.5</v>
      </c>
      <c r="U68" s="88">
        <v>1</v>
      </c>
      <c r="V68" s="422">
        <v>10</v>
      </c>
      <c r="W68" s="92">
        <v>20</v>
      </c>
      <c r="X68" s="547">
        <v>1</v>
      </c>
      <c r="Y68" s="441">
        <f t="shared" si="6"/>
        <v>44</v>
      </c>
      <c r="Z68" s="364"/>
      <c r="AA68" s="14"/>
      <c r="AB68" s="17"/>
      <c r="AC68" s="859"/>
      <c r="AD68" s="17"/>
      <c r="AE68" s="17"/>
      <c r="AF68" s="17"/>
    </row>
    <row r="69" spans="2:32" ht="15">
      <c r="B69" s="1141"/>
      <c r="C69" s="1136" t="s">
        <v>185</v>
      </c>
      <c r="D69" s="1161">
        <v>10.5</v>
      </c>
      <c r="E69" s="1162">
        <v>20.5</v>
      </c>
      <c r="F69" s="1163">
        <v>1</v>
      </c>
      <c r="G69" s="652">
        <v>7</v>
      </c>
      <c r="H69" s="653">
        <v>16</v>
      </c>
      <c r="I69" s="654">
        <v>1</v>
      </c>
      <c r="J69" s="407">
        <v>10.5</v>
      </c>
      <c r="K69" s="196">
        <v>20.5</v>
      </c>
      <c r="L69" s="408">
        <v>1</v>
      </c>
      <c r="M69" s="355"/>
      <c r="N69" s="346"/>
      <c r="O69" s="357"/>
      <c r="P69" s="209"/>
      <c r="Q69" s="210"/>
      <c r="R69" s="261"/>
      <c r="S69" s="209"/>
      <c r="T69" s="210"/>
      <c r="U69" s="416"/>
      <c r="V69" s="597"/>
      <c r="W69" s="212"/>
      <c r="X69" s="307"/>
      <c r="Y69" s="458">
        <f t="shared" si="6"/>
        <v>26</v>
      </c>
      <c r="Z69" s="822"/>
      <c r="AA69" s="366"/>
      <c r="AB69" s="17"/>
      <c r="AC69" s="859"/>
      <c r="AD69" s="17"/>
      <c r="AE69" s="17"/>
      <c r="AF69" s="17"/>
    </row>
    <row r="70" spans="2:32">
      <c r="B70" s="2117" t="s">
        <v>11</v>
      </c>
      <c r="C70" s="1131" t="s">
        <v>51</v>
      </c>
      <c r="D70" s="1158">
        <v>11.5</v>
      </c>
      <c r="E70" s="1159">
        <v>20.5</v>
      </c>
      <c r="F70" s="1160">
        <v>1</v>
      </c>
      <c r="G70" s="240">
        <v>10.5</v>
      </c>
      <c r="H70" s="101">
        <v>20.5</v>
      </c>
      <c r="I70" s="102">
        <v>1</v>
      </c>
      <c r="J70" s="1142">
        <v>20</v>
      </c>
      <c r="K70" s="1143">
        <v>6</v>
      </c>
      <c r="L70" s="1144">
        <v>1</v>
      </c>
      <c r="M70" s="1149">
        <v>20</v>
      </c>
      <c r="N70" s="1150">
        <v>6</v>
      </c>
      <c r="O70" s="1151">
        <v>1</v>
      </c>
      <c r="P70" s="1152">
        <v>20</v>
      </c>
      <c r="Q70" s="1153">
        <v>6</v>
      </c>
      <c r="R70" s="1154">
        <v>1</v>
      </c>
      <c r="S70" s="249"/>
      <c r="T70" s="250"/>
      <c r="U70" s="503"/>
      <c r="V70" s="1191"/>
      <c r="W70" s="683"/>
      <c r="X70" s="911"/>
      <c r="Y70" s="861">
        <f t="shared" si="6"/>
        <v>-28</v>
      </c>
      <c r="Z70" s="441"/>
      <c r="AA70" s="368"/>
      <c r="AB70" s="17"/>
      <c r="AC70" s="17"/>
      <c r="AD70" s="17"/>
      <c r="AE70" s="17"/>
      <c r="AF70" s="17"/>
    </row>
    <row r="71" spans="2:32">
      <c r="B71" s="2118"/>
      <c r="C71" s="1132" t="s">
        <v>14</v>
      </c>
      <c r="D71" s="355"/>
      <c r="E71" s="346"/>
      <c r="F71" s="357"/>
      <c r="G71" s="85">
        <v>10.5</v>
      </c>
      <c r="H71" s="86">
        <v>20.5</v>
      </c>
      <c r="I71" s="87">
        <v>1</v>
      </c>
      <c r="J71" s="1172">
        <v>10.5</v>
      </c>
      <c r="K71" s="1173">
        <v>20.5</v>
      </c>
      <c r="L71" s="1174">
        <v>1</v>
      </c>
      <c r="M71" s="319">
        <v>6</v>
      </c>
      <c r="N71" s="320">
        <v>16</v>
      </c>
      <c r="O71" s="321">
        <v>1</v>
      </c>
      <c r="P71" s="209"/>
      <c r="Q71" s="210"/>
      <c r="R71" s="261"/>
      <c r="S71" s="85">
        <v>11.5</v>
      </c>
      <c r="T71" s="86">
        <v>20.5</v>
      </c>
      <c r="U71" s="88">
        <v>1</v>
      </c>
      <c r="V71" s="422">
        <v>10</v>
      </c>
      <c r="W71" s="92">
        <v>20</v>
      </c>
      <c r="X71" s="547">
        <v>1</v>
      </c>
      <c r="Y71" s="909">
        <f t="shared" si="6"/>
        <v>44</v>
      </c>
      <c r="Z71" s="458"/>
      <c r="AA71" s="14"/>
      <c r="AB71" s="17"/>
      <c r="AC71" s="17"/>
      <c r="AD71" s="17"/>
      <c r="AE71" s="17"/>
      <c r="AF71" s="17"/>
    </row>
    <row r="72" spans="2:32" ht="15" customHeight="1">
      <c r="B72" s="2006" t="s">
        <v>52</v>
      </c>
      <c r="C72" s="1135" t="s">
        <v>28</v>
      </c>
      <c r="D72" s="276"/>
      <c r="E72" s="277"/>
      <c r="F72" s="278"/>
      <c r="G72" s="135">
        <v>11.5</v>
      </c>
      <c r="H72" s="136">
        <v>20.5</v>
      </c>
      <c r="I72" s="137">
        <v>1</v>
      </c>
      <c r="J72" s="731">
        <v>7</v>
      </c>
      <c r="K72" s="692">
        <v>17</v>
      </c>
      <c r="L72" s="698">
        <v>1</v>
      </c>
      <c r="M72" s="240">
        <v>10.5</v>
      </c>
      <c r="N72" s="101">
        <v>20.5</v>
      </c>
      <c r="O72" s="102">
        <v>1</v>
      </c>
      <c r="P72" s="240">
        <v>10.5</v>
      </c>
      <c r="Q72" s="101">
        <v>20.5</v>
      </c>
      <c r="R72" s="102">
        <v>1</v>
      </c>
      <c r="S72" s="1187">
        <v>10.5</v>
      </c>
      <c r="T72" s="1182">
        <v>20.5</v>
      </c>
      <c r="U72" s="1188">
        <v>1</v>
      </c>
      <c r="V72" s="1191"/>
      <c r="W72" s="683"/>
      <c r="X72" s="911"/>
      <c r="Y72" s="909">
        <f t="shared" si="6"/>
        <v>44</v>
      </c>
      <c r="Z72" s="441"/>
      <c r="AA72" s="368"/>
      <c r="AB72" s="17"/>
      <c r="AC72" s="17"/>
      <c r="AD72" s="17"/>
      <c r="AE72" s="17"/>
      <c r="AF72" s="17"/>
    </row>
    <row r="73" spans="2:32">
      <c r="B73" s="2006"/>
      <c r="C73" s="930" t="s">
        <v>21</v>
      </c>
      <c r="D73" s="1183">
        <v>7</v>
      </c>
      <c r="E73" s="1179">
        <v>17</v>
      </c>
      <c r="F73" s="1184">
        <v>1</v>
      </c>
      <c r="G73" s="262"/>
      <c r="H73" s="171"/>
      <c r="I73" s="172"/>
      <c r="J73" s="186">
        <v>10.5</v>
      </c>
      <c r="K73" s="187">
        <v>20.5</v>
      </c>
      <c r="L73" s="188">
        <v>1</v>
      </c>
      <c r="M73" s="1186">
        <v>11.5</v>
      </c>
      <c r="N73" s="1166">
        <v>20.5</v>
      </c>
      <c r="O73" s="1167">
        <v>1</v>
      </c>
      <c r="P73" s="76">
        <v>10.5</v>
      </c>
      <c r="Q73" s="77">
        <v>20.5</v>
      </c>
      <c r="R73" s="78">
        <v>1</v>
      </c>
      <c r="S73" s="676">
        <v>6</v>
      </c>
      <c r="T73" s="666">
        <v>16</v>
      </c>
      <c r="U73" s="1189">
        <v>1</v>
      </c>
      <c r="V73" s="559"/>
      <c r="W73" s="174"/>
      <c r="X73" s="175"/>
      <c r="Y73" s="529">
        <f t="shared" si="6"/>
        <v>44</v>
      </c>
      <c r="Z73" s="362"/>
      <c r="AA73" s="6"/>
      <c r="AB73" s="17"/>
      <c r="AC73" s="17"/>
      <c r="AD73" s="17"/>
      <c r="AE73" s="17"/>
      <c r="AF73" s="17"/>
    </row>
    <row r="74" spans="2:32">
      <c r="B74" s="1953"/>
      <c r="C74" s="931" t="s">
        <v>53</v>
      </c>
      <c r="D74" s="241">
        <v>11.5</v>
      </c>
      <c r="E74" s="238">
        <v>20.5</v>
      </c>
      <c r="F74" s="246">
        <v>1</v>
      </c>
      <c r="G74" s="1177">
        <v>7</v>
      </c>
      <c r="H74" s="1127">
        <v>16</v>
      </c>
      <c r="I74" s="1128">
        <v>1</v>
      </c>
      <c r="J74" s="936"/>
      <c r="K74" s="937"/>
      <c r="L74" s="938"/>
      <c r="M74" s="273"/>
      <c r="N74" s="274"/>
      <c r="O74" s="275"/>
      <c r="P74" s="242">
        <v>10.5</v>
      </c>
      <c r="Q74" s="239">
        <v>20.5</v>
      </c>
      <c r="R74" s="243">
        <v>1</v>
      </c>
      <c r="S74" s="242">
        <v>10.5</v>
      </c>
      <c r="T74" s="239">
        <v>20.5</v>
      </c>
      <c r="U74" s="419">
        <v>1</v>
      </c>
      <c r="V74" s="599">
        <v>10</v>
      </c>
      <c r="W74" s="331">
        <v>20</v>
      </c>
      <c r="X74" s="655">
        <v>1</v>
      </c>
      <c r="Y74" s="458">
        <f t="shared" si="6"/>
        <v>43</v>
      </c>
      <c r="Z74" s="364"/>
      <c r="AA74" s="14"/>
      <c r="AB74" s="17"/>
      <c r="AC74" s="17"/>
      <c r="AD74" s="17"/>
      <c r="AE74" s="17"/>
      <c r="AF74" s="17"/>
    </row>
    <row r="75" spans="2:32">
      <c r="B75" s="1831" t="s">
        <v>171</v>
      </c>
      <c r="C75" s="694" t="s">
        <v>25</v>
      </c>
      <c r="D75" s="1180">
        <v>10.5</v>
      </c>
      <c r="E75" s="66">
        <v>20.5</v>
      </c>
      <c r="F75" s="67">
        <v>1</v>
      </c>
      <c r="G75" s="1129">
        <v>7</v>
      </c>
      <c r="H75" s="1130">
        <v>16</v>
      </c>
      <c r="I75" s="1181">
        <v>1</v>
      </c>
      <c r="J75" s="1085"/>
      <c r="K75" s="325"/>
      <c r="L75" s="870"/>
      <c r="M75" s="65">
        <v>10.5</v>
      </c>
      <c r="N75" s="66">
        <v>20.5</v>
      </c>
      <c r="O75" s="67">
        <v>1</v>
      </c>
      <c r="P75" s="218"/>
      <c r="Q75" s="166"/>
      <c r="R75" s="167"/>
      <c r="S75" s="65">
        <v>10.5</v>
      </c>
      <c r="T75" s="66">
        <v>20.5</v>
      </c>
      <c r="U75" s="68">
        <v>1</v>
      </c>
      <c r="V75" s="421">
        <v>8</v>
      </c>
      <c r="W75" s="71">
        <v>18</v>
      </c>
      <c r="X75" s="151">
        <v>1</v>
      </c>
      <c r="Y75" s="365">
        <f t="shared" si="6"/>
        <v>44</v>
      </c>
      <c r="Z75" s="2"/>
      <c r="AA75" s="268"/>
      <c r="AB75" s="17"/>
      <c r="AC75" s="17"/>
      <c r="AD75" s="17"/>
      <c r="AE75" s="17"/>
      <c r="AF75" s="17"/>
    </row>
    <row r="76" spans="2:32">
      <c r="B76" s="1831"/>
      <c r="C76" s="695" t="s">
        <v>27</v>
      </c>
      <c r="D76" s="1175">
        <v>11.5</v>
      </c>
      <c r="E76" s="77">
        <v>20.5</v>
      </c>
      <c r="F76" s="78">
        <v>1</v>
      </c>
      <c r="G76" s="262"/>
      <c r="H76" s="171"/>
      <c r="I76" s="172"/>
      <c r="J76" s="1178">
        <v>20</v>
      </c>
      <c r="K76" s="1145">
        <v>6</v>
      </c>
      <c r="L76" s="1148">
        <v>1</v>
      </c>
      <c r="M76" s="1178">
        <v>20</v>
      </c>
      <c r="N76" s="1145">
        <v>6</v>
      </c>
      <c r="O76" s="1148">
        <v>1</v>
      </c>
      <c r="P76" s="1155">
        <v>20</v>
      </c>
      <c r="Q76" s="1146">
        <v>6</v>
      </c>
      <c r="R76" s="1147">
        <v>1</v>
      </c>
      <c r="S76" s="262"/>
      <c r="T76" s="171"/>
      <c r="U76" s="324"/>
      <c r="V76" s="560">
        <v>10</v>
      </c>
      <c r="W76" s="80">
        <v>20</v>
      </c>
      <c r="X76" s="247">
        <v>1</v>
      </c>
      <c r="Y76" s="362">
        <f t="shared" si="6"/>
        <v>-28</v>
      </c>
      <c r="Z76" s="297"/>
      <c r="AA76" s="55"/>
      <c r="AB76" s="17"/>
      <c r="AC76" s="17"/>
      <c r="AD76" s="17" t="s">
        <v>69</v>
      </c>
      <c r="AE76" s="17"/>
      <c r="AF76" s="17"/>
    </row>
    <row r="77" spans="2:32">
      <c r="B77" s="1831"/>
      <c r="C77" s="695" t="s">
        <v>31</v>
      </c>
      <c r="D77" s="1176">
        <v>7</v>
      </c>
      <c r="E77" s="317">
        <v>16</v>
      </c>
      <c r="F77" s="318">
        <v>1</v>
      </c>
      <c r="G77" s="76">
        <v>10.5</v>
      </c>
      <c r="H77" s="77">
        <v>20.5</v>
      </c>
      <c r="I77" s="78">
        <v>1</v>
      </c>
      <c r="J77" s="76">
        <v>10.5</v>
      </c>
      <c r="K77" s="77">
        <v>20.5</v>
      </c>
      <c r="L77" s="78">
        <v>1</v>
      </c>
      <c r="M77" s="1186">
        <v>10.5</v>
      </c>
      <c r="N77" s="1166">
        <v>20.5</v>
      </c>
      <c r="O77" s="1167">
        <v>1</v>
      </c>
      <c r="P77" s="225"/>
      <c r="Q77" s="226"/>
      <c r="R77" s="248"/>
      <c r="S77" s="76">
        <v>10.5</v>
      </c>
      <c r="T77" s="77">
        <v>20.5</v>
      </c>
      <c r="U77" s="504">
        <v>1</v>
      </c>
      <c r="V77" s="559"/>
      <c r="W77" s="174"/>
      <c r="X77" s="360"/>
      <c r="Y77" s="362">
        <f t="shared" si="6"/>
        <v>44</v>
      </c>
      <c r="Z77" s="297"/>
      <c r="AA77" s="55"/>
      <c r="AB77" s="17"/>
      <c r="AC77" s="17"/>
      <c r="AD77" s="17"/>
      <c r="AE77" s="17"/>
      <c r="AF77" s="17"/>
    </row>
    <row r="78" spans="2:32">
      <c r="B78" s="1831"/>
      <c r="C78" s="695" t="s">
        <v>55</v>
      </c>
      <c r="D78" s="262"/>
      <c r="E78" s="171"/>
      <c r="F78" s="172"/>
      <c r="G78" s="424"/>
      <c r="H78" s="198"/>
      <c r="I78" s="431"/>
      <c r="J78" s="186">
        <v>10.5</v>
      </c>
      <c r="K78" s="187">
        <v>20.5</v>
      </c>
      <c r="L78" s="188">
        <v>1</v>
      </c>
      <c r="M78" s="316">
        <v>7</v>
      </c>
      <c r="N78" s="317">
        <v>16</v>
      </c>
      <c r="O78" s="318">
        <v>1</v>
      </c>
      <c r="P78" s="76">
        <v>10.5</v>
      </c>
      <c r="Q78" s="77">
        <v>20.5</v>
      </c>
      <c r="R78" s="78">
        <v>1</v>
      </c>
      <c r="S78" s="76">
        <v>10.5</v>
      </c>
      <c r="T78" s="77">
        <v>20.5</v>
      </c>
      <c r="U78" s="504">
        <v>1</v>
      </c>
      <c r="V78" s="560">
        <v>10</v>
      </c>
      <c r="W78" s="80">
        <v>20</v>
      </c>
      <c r="X78" s="247">
        <v>1</v>
      </c>
      <c r="Y78" s="362">
        <f t="shared" si="6"/>
        <v>44</v>
      </c>
      <c r="Z78" s="297"/>
      <c r="AA78" s="55"/>
      <c r="AB78" s="17"/>
      <c r="AC78" s="17"/>
      <c r="AD78" s="17"/>
      <c r="AE78" s="17"/>
      <c r="AF78" s="17"/>
    </row>
    <row r="79" spans="2:32">
      <c r="B79" s="1831"/>
      <c r="C79" s="695" t="s">
        <v>172</v>
      </c>
      <c r="D79" s="225"/>
      <c r="E79" s="226"/>
      <c r="F79" s="248"/>
      <c r="G79" s="76">
        <v>10.5</v>
      </c>
      <c r="H79" s="77">
        <v>20.5</v>
      </c>
      <c r="I79" s="78">
        <v>1</v>
      </c>
      <c r="J79" s="76">
        <v>10.5</v>
      </c>
      <c r="K79" s="77">
        <v>20.5</v>
      </c>
      <c r="L79" s="78">
        <v>1</v>
      </c>
      <c r="M79" s="73">
        <v>10.5</v>
      </c>
      <c r="N79" s="74">
        <v>20.5</v>
      </c>
      <c r="O79" s="75">
        <v>1</v>
      </c>
      <c r="P79" s="316">
        <v>7</v>
      </c>
      <c r="Q79" s="317">
        <v>16</v>
      </c>
      <c r="R79" s="318">
        <v>1</v>
      </c>
      <c r="S79" s="76">
        <v>10.5</v>
      </c>
      <c r="T79" s="77">
        <v>20.5</v>
      </c>
      <c r="U79" s="504">
        <v>1</v>
      </c>
      <c r="V79" s="559"/>
      <c r="W79" s="174"/>
      <c r="X79" s="360"/>
      <c r="Y79" s="362">
        <f t="shared" si="6"/>
        <v>44</v>
      </c>
      <c r="Z79" s="297"/>
      <c r="AA79" s="55"/>
      <c r="AB79" s="17"/>
      <c r="AC79" s="17"/>
      <c r="AD79" s="17"/>
      <c r="AE79" s="17"/>
      <c r="AF79" s="17"/>
    </row>
    <row r="80" spans="2:32">
      <c r="B80" s="1831"/>
      <c r="C80" s="695" t="s">
        <v>87</v>
      </c>
      <c r="D80" s="1175">
        <v>11.5</v>
      </c>
      <c r="E80" s="77">
        <v>20.5</v>
      </c>
      <c r="F80" s="78">
        <v>1</v>
      </c>
      <c r="G80" s="225"/>
      <c r="H80" s="226"/>
      <c r="I80" s="248"/>
      <c r="J80" s="1178">
        <v>20</v>
      </c>
      <c r="K80" s="1145">
        <v>6</v>
      </c>
      <c r="L80" s="1148">
        <v>1</v>
      </c>
      <c r="M80" s="1155">
        <v>20</v>
      </c>
      <c r="N80" s="1146">
        <v>6</v>
      </c>
      <c r="O80" s="1147">
        <v>1</v>
      </c>
      <c r="P80" s="1156">
        <v>20</v>
      </c>
      <c r="Q80" s="1157">
        <v>6</v>
      </c>
      <c r="R80" s="1190">
        <v>1</v>
      </c>
      <c r="S80" s="225"/>
      <c r="T80" s="226"/>
      <c r="U80" s="430"/>
      <c r="V80" s="560">
        <v>10</v>
      </c>
      <c r="W80" s="80">
        <v>20</v>
      </c>
      <c r="X80" s="247">
        <v>1</v>
      </c>
      <c r="Y80" s="362">
        <f t="shared" si="6"/>
        <v>-28</v>
      </c>
      <c r="Z80" s="297"/>
      <c r="AA80" s="55"/>
      <c r="AB80" s="17"/>
      <c r="AC80" s="17"/>
      <c r="AD80" s="17"/>
      <c r="AE80" s="17"/>
      <c r="AF80" s="17"/>
    </row>
    <row r="81" spans="1:32">
      <c r="B81" s="1831"/>
      <c r="C81" s="695" t="s">
        <v>104</v>
      </c>
      <c r="D81" s="225"/>
      <c r="E81" s="226"/>
      <c r="F81" s="248"/>
      <c r="G81" s="76">
        <v>10.5</v>
      </c>
      <c r="H81" s="77">
        <v>20.5</v>
      </c>
      <c r="I81" s="78">
        <v>1</v>
      </c>
      <c r="J81" s="424"/>
      <c r="K81" s="198"/>
      <c r="L81" s="431"/>
      <c r="M81" s="73">
        <v>11.5</v>
      </c>
      <c r="N81" s="74">
        <v>20.5</v>
      </c>
      <c r="O81" s="75">
        <v>1</v>
      </c>
      <c r="P81" s="76">
        <v>10.5</v>
      </c>
      <c r="Q81" s="77">
        <v>20.5</v>
      </c>
      <c r="R81" s="78">
        <v>1</v>
      </c>
      <c r="S81" s="676">
        <v>7</v>
      </c>
      <c r="T81" s="666">
        <v>17</v>
      </c>
      <c r="U81" s="1189">
        <v>1</v>
      </c>
      <c r="V81" s="560">
        <v>8</v>
      </c>
      <c r="W81" s="80">
        <v>18</v>
      </c>
      <c r="X81" s="247">
        <v>1</v>
      </c>
      <c r="Y81" s="362">
        <f t="shared" si="6"/>
        <v>44</v>
      </c>
      <c r="Z81" s="297"/>
      <c r="AA81" s="55"/>
      <c r="AB81" s="17"/>
      <c r="AC81" s="17"/>
      <c r="AD81" s="17"/>
      <c r="AE81" s="17"/>
      <c r="AF81" s="17"/>
    </row>
    <row r="82" spans="1:32">
      <c r="B82" s="1110"/>
      <c r="C82" s="932" t="s">
        <v>187</v>
      </c>
      <c r="D82" s="319">
        <v>7</v>
      </c>
      <c r="E82" s="320">
        <v>17</v>
      </c>
      <c r="F82" s="321">
        <v>1</v>
      </c>
      <c r="G82" s="209"/>
      <c r="H82" s="210"/>
      <c r="I82" s="261"/>
      <c r="J82" s="939">
        <v>7</v>
      </c>
      <c r="K82" s="940">
        <v>17</v>
      </c>
      <c r="L82" s="974">
        <v>1</v>
      </c>
      <c r="M82" s="355"/>
      <c r="N82" s="346"/>
      <c r="O82" s="357"/>
      <c r="P82" s="85">
        <v>11.5</v>
      </c>
      <c r="Q82" s="86">
        <v>20.5</v>
      </c>
      <c r="R82" s="87">
        <v>1</v>
      </c>
      <c r="S82" s="85">
        <v>10.5</v>
      </c>
      <c r="T82" s="86">
        <v>20.5</v>
      </c>
      <c r="U82" s="88">
        <v>1</v>
      </c>
      <c r="V82" s="422">
        <v>10</v>
      </c>
      <c r="W82" s="92">
        <v>20</v>
      </c>
      <c r="X82" s="118">
        <v>1</v>
      </c>
      <c r="Y82" s="364">
        <f t="shared" si="6"/>
        <v>44</v>
      </c>
      <c r="Z82" s="298"/>
      <c r="AA82" s="269"/>
      <c r="AB82" s="17"/>
      <c r="AC82" s="17"/>
      <c r="AD82" s="17"/>
      <c r="AE82" s="17"/>
      <c r="AF82" s="17"/>
    </row>
    <row r="83" spans="1:32">
      <c r="A83" s="50"/>
      <c r="B83" s="1830" t="s">
        <v>116</v>
      </c>
      <c r="C83" s="694" t="s">
        <v>32</v>
      </c>
      <c r="D83" s="276"/>
      <c r="E83" s="277"/>
      <c r="F83" s="278"/>
      <c r="G83" s="240">
        <v>16.5</v>
      </c>
      <c r="H83" s="101">
        <v>20.5</v>
      </c>
      <c r="I83" s="102"/>
      <c r="J83" s="292">
        <v>16.5</v>
      </c>
      <c r="K83" s="293">
        <v>20.5</v>
      </c>
      <c r="L83" s="294"/>
      <c r="M83" s="276"/>
      <c r="N83" s="277"/>
      <c r="O83" s="278"/>
      <c r="P83" s="731">
        <v>6</v>
      </c>
      <c r="Q83" s="692">
        <v>12</v>
      </c>
      <c r="R83" s="698"/>
      <c r="S83" s="240">
        <v>14.5</v>
      </c>
      <c r="T83" s="101">
        <v>20.5</v>
      </c>
      <c r="U83" s="102">
        <v>1</v>
      </c>
      <c r="V83" s="244">
        <v>8</v>
      </c>
      <c r="W83" s="237">
        <v>17</v>
      </c>
      <c r="X83" s="546">
        <v>1</v>
      </c>
      <c r="Y83" s="861">
        <f t="shared" si="6"/>
        <v>27</v>
      </c>
      <c r="Z83" s="529"/>
      <c r="AA83" s="5"/>
      <c r="AB83" s="17"/>
      <c r="AC83" s="17"/>
      <c r="AD83" s="17"/>
      <c r="AE83" s="17"/>
      <c r="AF83" s="17"/>
    </row>
    <row r="84" spans="1:32">
      <c r="A84" s="50"/>
      <c r="B84" s="1831"/>
      <c r="C84" s="695" t="s">
        <v>114</v>
      </c>
      <c r="D84" s="1176">
        <v>7</v>
      </c>
      <c r="E84" s="317">
        <v>12</v>
      </c>
      <c r="F84" s="318"/>
      <c r="G84" s="262"/>
      <c r="H84" s="171"/>
      <c r="I84" s="172"/>
      <c r="J84" s="186">
        <v>15.5</v>
      </c>
      <c r="K84" s="187">
        <v>20.5</v>
      </c>
      <c r="L84" s="188"/>
      <c r="M84" s="225"/>
      <c r="N84" s="226"/>
      <c r="O84" s="248"/>
      <c r="P84" s="76">
        <v>15.5</v>
      </c>
      <c r="Q84" s="77">
        <v>20.5</v>
      </c>
      <c r="R84" s="78"/>
      <c r="S84" s="76">
        <v>14.5</v>
      </c>
      <c r="T84" s="77">
        <v>20.5</v>
      </c>
      <c r="U84" s="78">
        <v>1</v>
      </c>
      <c r="V84" s="79">
        <v>12</v>
      </c>
      <c r="W84" s="80">
        <v>20</v>
      </c>
      <c r="X84" s="81">
        <v>1</v>
      </c>
      <c r="Y84" s="735">
        <f t="shared" si="6"/>
        <v>27</v>
      </c>
      <c r="Z84" s="457"/>
      <c r="AA84" s="6"/>
      <c r="AB84" s="17"/>
      <c r="AC84" s="17"/>
      <c r="AD84" s="17"/>
      <c r="AE84" s="17"/>
      <c r="AF84" s="17"/>
    </row>
    <row r="85" spans="1:32">
      <c r="A85" s="50"/>
      <c r="B85" s="1831"/>
      <c r="C85" s="695" t="s">
        <v>89</v>
      </c>
      <c r="D85" s="73">
        <v>16.5</v>
      </c>
      <c r="E85" s="74">
        <v>20.5</v>
      </c>
      <c r="F85" s="75"/>
      <c r="G85" s="76">
        <v>13.5</v>
      </c>
      <c r="H85" s="77">
        <v>20.5</v>
      </c>
      <c r="I85" s="78"/>
      <c r="J85" s="424"/>
      <c r="K85" s="198"/>
      <c r="L85" s="431"/>
      <c r="M85" s="316">
        <v>7</v>
      </c>
      <c r="N85" s="317">
        <v>12</v>
      </c>
      <c r="O85" s="318"/>
      <c r="P85" s="262"/>
      <c r="Q85" s="171"/>
      <c r="R85" s="172"/>
      <c r="S85" s="76">
        <v>13.5</v>
      </c>
      <c r="T85" s="77">
        <v>20.5</v>
      </c>
      <c r="U85" s="78">
        <v>1</v>
      </c>
      <c r="V85" s="79">
        <v>12</v>
      </c>
      <c r="W85" s="80">
        <v>20</v>
      </c>
      <c r="X85" s="81">
        <v>1</v>
      </c>
      <c r="Y85" s="735">
        <f t="shared" si="6"/>
        <v>29</v>
      </c>
      <c r="Z85" s="457"/>
      <c r="AA85" s="6"/>
      <c r="AB85" s="17"/>
      <c r="AC85" s="17"/>
      <c r="AD85" s="17"/>
      <c r="AE85" s="17"/>
      <c r="AF85" s="17"/>
    </row>
    <row r="86" spans="1:32">
      <c r="A86" s="50"/>
      <c r="B86" s="1831"/>
      <c r="C86" s="695" t="s">
        <v>38</v>
      </c>
      <c r="D86" s="225"/>
      <c r="E86" s="226"/>
      <c r="F86" s="248"/>
      <c r="G86" s="76">
        <v>15.5</v>
      </c>
      <c r="H86" s="77">
        <v>20.5</v>
      </c>
      <c r="I86" s="78"/>
      <c r="J86" s="635">
        <v>7</v>
      </c>
      <c r="K86" s="636">
        <v>15</v>
      </c>
      <c r="L86" s="651">
        <v>1</v>
      </c>
      <c r="M86" s="225"/>
      <c r="N86" s="226"/>
      <c r="O86" s="248"/>
      <c r="P86" s="262"/>
      <c r="Q86" s="171"/>
      <c r="R86" s="172"/>
      <c r="S86" s="76">
        <v>13.5</v>
      </c>
      <c r="T86" s="77">
        <v>20.5</v>
      </c>
      <c r="U86" s="78">
        <v>1</v>
      </c>
      <c r="V86" s="79">
        <v>8</v>
      </c>
      <c r="W86" s="80">
        <v>17</v>
      </c>
      <c r="X86" s="81">
        <v>1</v>
      </c>
      <c r="Y86" s="735">
        <f t="shared" si="6"/>
        <v>26</v>
      </c>
      <c r="Z86" s="457"/>
      <c r="AA86" s="6"/>
      <c r="AB86" s="17"/>
      <c r="AC86" s="17"/>
      <c r="AD86" s="17"/>
      <c r="AE86" s="17"/>
      <c r="AF86" s="17"/>
    </row>
    <row r="87" spans="1:32">
      <c r="A87" s="50"/>
      <c r="B87" s="1831"/>
      <c r="C87" s="695" t="s">
        <v>188</v>
      </c>
      <c r="D87" s="225"/>
      <c r="E87" s="226"/>
      <c r="F87" s="248"/>
      <c r="G87" s="225"/>
      <c r="H87" s="226"/>
      <c r="I87" s="248"/>
      <c r="J87" s="186">
        <v>16.5</v>
      </c>
      <c r="K87" s="187">
        <v>20.5</v>
      </c>
      <c r="L87" s="188"/>
      <c r="M87" s="73">
        <v>16.5</v>
      </c>
      <c r="N87" s="74">
        <v>20.5</v>
      </c>
      <c r="O87" s="75"/>
      <c r="P87" s="316">
        <v>7</v>
      </c>
      <c r="Q87" s="317">
        <v>12</v>
      </c>
      <c r="R87" s="318"/>
      <c r="S87" s="316">
        <v>7</v>
      </c>
      <c r="T87" s="317">
        <v>16</v>
      </c>
      <c r="U87" s="318">
        <v>1</v>
      </c>
      <c r="V87" s="79">
        <v>13</v>
      </c>
      <c r="W87" s="80">
        <v>20</v>
      </c>
      <c r="X87" s="81">
        <v>1</v>
      </c>
      <c r="Y87" s="735">
        <f t="shared" si="6"/>
        <v>27</v>
      </c>
      <c r="Z87" s="457"/>
      <c r="AA87" s="6"/>
      <c r="AB87" s="17"/>
      <c r="AC87" s="17"/>
      <c r="AD87" s="17"/>
      <c r="AE87" s="17"/>
      <c r="AF87" s="17"/>
    </row>
    <row r="88" spans="1:32">
      <c r="A88" s="50"/>
      <c r="B88" s="1831"/>
      <c r="C88" s="695" t="s">
        <v>36</v>
      </c>
      <c r="D88" s="1176">
        <v>16.5</v>
      </c>
      <c r="E88" s="74">
        <v>20.5</v>
      </c>
      <c r="F88" s="75"/>
      <c r="G88" s="316">
        <v>7</v>
      </c>
      <c r="H88" s="317">
        <v>12</v>
      </c>
      <c r="I88" s="318"/>
      <c r="J88" s="424"/>
      <c r="K88" s="198"/>
      <c r="L88" s="431"/>
      <c r="M88" s="225"/>
      <c r="N88" s="226"/>
      <c r="O88" s="248"/>
      <c r="P88" s="73">
        <v>14.5</v>
      </c>
      <c r="Q88" s="74">
        <v>20.5</v>
      </c>
      <c r="R88" s="75">
        <v>1</v>
      </c>
      <c r="S88" s="73">
        <v>13.5</v>
      </c>
      <c r="T88" s="74">
        <v>20.5</v>
      </c>
      <c r="U88" s="75">
        <v>1</v>
      </c>
      <c r="V88" s="79">
        <v>12</v>
      </c>
      <c r="W88" s="80">
        <v>20</v>
      </c>
      <c r="X88" s="81">
        <v>1</v>
      </c>
      <c r="Y88" s="735">
        <f t="shared" si="6"/>
        <v>27</v>
      </c>
      <c r="Z88" s="457"/>
      <c r="AA88" s="6"/>
      <c r="AB88" s="17"/>
      <c r="AC88" s="17"/>
      <c r="AD88" s="17"/>
      <c r="AE88" s="17"/>
      <c r="AF88" s="17"/>
    </row>
    <row r="89" spans="1:32">
      <c r="A89" s="50"/>
      <c r="B89" s="1831"/>
      <c r="C89" s="695" t="s">
        <v>169</v>
      </c>
      <c r="D89" s="73">
        <v>16.5</v>
      </c>
      <c r="E89" s="74">
        <v>20.5</v>
      </c>
      <c r="F89" s="75"/>
      <c r="G89" s="225"/>
      <c r="H89" s="226"/>
      <c r="I89" s="248"/>
      <c r="J89" s="850">
        <v>16.5</v>
      </c>
      <c r="K89" s="851">
        <v>20.5</v>
      </c>
      <c r="L89" s="1019"/>
      <c r="M89" s="73">
        <v>16.5</v>
      </c>
      <c r="N89" s="74">
        <v>20.5</v>
      </c>
      <c r="O89" s="75"/>
      <c r="P89" s="225"/>
      <c r="Q89" s="226"/>
      <c r="R89" s="248"/>
      <c r="S89" s="316">
        <v>7</v>
      </c>
      <c r="T89" s="317">
        <v>15</v>
      </c>
      <c r="U89" s="318">
        <v>1</v>
      </c>
      <c r="V89" s="79">
        <v>13</v>
      </c>
      <c r="W89" s="80">
        <v>20</v>
      </c>
      <c r="X89" s="81">
        <v>1</v>
      </c>
      <c r="Y89" s="735">
        <f t="shared" si="6"/>
        <v>25</v>
      </c>
      <c r="Z89" s="457"/>
      <c r="AA89" s="6"/>
      <c r="AB89" s="17"/>
      <c r="AC89" s="17"/>
      <c r="AD89" s="17"/>
      <c r="AE89" s="17"/>
      <c r="AF89" s="17"/>
    </row>
    <row r="90" spans="1:32">
      <c r="A90" s="50"/>
      <c r="B90" s="1831"/>
      <c r="C90" s="695" t="s">
        <v>117</v>
      </c>
      <c r="D90" s="939">
        <v>7</v>
      </c>
      <c r="E90" s="940">
        <v>13</v>
      </c>
      <c r="F90" s="974"/>
      <c r="G90" s="193"/>
      <c r="H90" s="194"/>
      <c r="I90" s="195"/>
      <c r="J90" s="1219">
        <v>20</v>
      </c>
      <c r="K90" s="1220">
        <v>6</v>
      </c>
      <c r="L90" s="1221">
        <v>1</v>
      </c>
      <c r="M90" s="1219">
        <v>20</v>
      </c>
      <c r="N90" s="1220">
        <v>6</v>
      </c>
      <c r="O90" s="1221">
        <v>1</v>
      </c>
      <c r="P90" s="193"/>
      <c r="Q90" s="194"/>
      <c r="R90" s="195"/>
      <c r="S90" s="939">
        <v>7</v>
      </c>
      <c r="T90" s="940">
        <v>16</v>
      </c>
      <c r="U90" s="974">
        <v>1</v>
      </c>
      <c r="V90" s="91">
        <v>12</v>
      </c>
      <c r="W90" s="92">
        <v>20</v>
      </c>
      <c r="X90" s="547">
        <v>1</v>
      </c>
      <c r="Y90" s="736">
        <f t="shared" si="6"/>
        <v>-9</v>
      </c>
      <c r="Z90" s="500"/>
      <c r="AA90" s="369"/>
      <c r="AB90" s="17"/>
      <c r="AC90" s="17"/>
      <c r="AD90" s="17"/>
      <c r="AE90" s="17"/>
      <c r="AF90" s="17"/>
    </row>
    <row r="91" spans="1:32">
      <c r="A91" s="50"/>
      <c r="B91" s="1832"/>
      <c r="AB91" s="17"/>
      <c r="AC91" s="17"/>
      <c r="AD91" s="17"/>
      <c r="AE91" s="17"/>
      <c r="AF91" s="17"/>
    </row>
    <row r="92" spans="1:32">
      <c r="B92" s="50"/>
      <c r="C92" s="50"/>
      <c r="D92" s="1828">
        <f>COUNT(D67:D90)</f>
        <v>16</v>
      </c>
      <c r="E92" s="1829"/>
      <c r="F92" s="1833"/>
      <c r="G92" s="1829">
        <f>COUNT(G67:G90)</f>
        <v>13</v>
      </c>
      <c r="H92" s="1829"/>
      <c r="I92" s="1852"/>
      <c r="J92" s="2077">
        <f t="shared" ref="J92" si="7">COUNT(J67:J90)</f>
        <v>18</v>
      </c>
      <c r="K92" s="1829"/>
      <c r="L92" s="1852"/>
      <c r="M92" s="2077">
        <f t="shared" ref="M92" si="8">COUNT(M67:M90)</f>
        <v>17</v>
      </c>
      <c r="N92" s="1829"/>
      <c r="O92" s="1852"/>
      <c r="P92" s="2077">
        <f t="shared" ref="P92" si="9">COUNT(P67:P90)</f>
        <v>16</v>
      </c>
      <c r="Q92" s="1829"/>
      <c r="R92" s="1852"/>
      <c r="S92" s="2077">
        <f t="shared" ref="S92" si="10">COUNT(S67:S90)</f>
        <v>20</v>
      </c>
      <c r="T92" s="1829"/>
      <c r="U92" s="1852"/>
      <c r="V92" s="2077">
        <f t="shared" ref="V92" si="11">COUNT(V67:V90)</f>
        <v>17</v>
      </c>
      <c r="W92" s="1829"/>
      <c r="X92" s="1852"/>
      <c r="Y92" s="23"/>
      <c r="Z92" s="23"/>
      <c r="AA92" s="17"/>
      <c r="AB92" s="17"/>
      <c r="AC92" s="17"/>
      <c r="AD92" s="17"/>
      <c r="AE92" s="17"/>
      <c r="AF92" s="17"/>
    </row>
    <row r="93" spans="1:32">
      <c r="D93" s="182"/>
      <c r="E93" s="182"/>
      <c r="F93" s="182"/>
      <c r="G93" s="182"/>
      <c r="H93" s="182"/>
      <c r="I93" s="182"/>
      <c r="J93" s="182"/>
      <c r="K93" s="182"/>
      <c r="L93" s="182"/>
      <c r="M93" s="182"/>
      <c r="N93" s="182"/>
      <c r="O93" s="182"/>
      <c r="P93" s="182"/>
      <c r="Q93" s="182"/>
      <c r="R93" s="182"/>
      <c r="S93" s="182"/>
      <c r="T93" s="182"/>
      <c r="U93" s="182"/>
      <c r="V93" s="182"/>
      <c r="W93" s="182"/>
      <c r="X93" s="182"/>
      <c r="Y93" s="23"/>
      <c r="Z93" s="23"/>
      <c r="AA93" s="17"/>
      <c r="AB93" s="17"/>
      <c r="AC93" s="17"/>
      <c r="AD93" s="17"/>
      <c r="AE93" s="17"/>
      <c r="AF93" s="17"/>
    </row>
    <row r="94" spans="1:32" ht="14.4">
      <c r="D94" s="182"/>
      <c r="E94" s="182"/>
      <c r="F94" s="182"/>
      <c r="G94" s="182"/>
      <c r="H94" s="182"/>
      <c r="I94" s="182"/>
      <c r="J94" s="2123" t="s">
        <v>204</v>
      </c>
      <c r="K94" s="2124"/>
      <c r="L94" s="2125"/>
      <c r="M94" s="182"/>
      <c r="N94" s="182"/>
      <c r="O94" s="182"/>
      <c r="P94" s="182"/>
      <c r="Q94" s="182"/>
      <c r="R94" s="182"/>
      <c r="S94" s="182"/>
      <c r="T94" s="182"/>
      <c r="U94" s="182"/>
      <c r="V94" s="182"/>
      <c r="W94" s="182"/>
      <c r="X94" s="182"/>
      <c r="Y94" s="23"/>
      <c r="Z94" s="23"/>
      <c r="AA94" s="17"/>
      <c r="AB94" s="17"/>
      <c r="AC94" s="17"/>
      <c r="AD94" s="17"/>
      <c r="AE94" s="17"/>
      <c r="AF94" s="17"/>
    </row>
    <row r="95" spans="1:32" ht="15" customHeight="1">
      <c r="B95" s="1817" t="str">
        <f>B63</f>
        <v xml:space="preserve">FEBRERO </v>
      </c>
      <c r="C95" s="1817"/>
      <c r="D95" s="2008"/>
      <c r="E95" s="2009"/>
      <c r="F95" s="2010"/>
      <c r="G95" s="1954"/>
      <c r="H95" s="1955"/>
      <c r="I95" s="1955"/>
      <c r="J95" s="1982" t="s">
        <v>159</v>
      </c>
      <c r="K95" s="1983"/>
      <c r="L95" s="2119"/>
      <c r="M95" s="2114" t="s">
        <v>205</v>
      </c>
      <c r="N95" s="2114"/>
      <c r="O95" s="2115"/>
      <c r="P95" s="1955"/>
      <c r="Q95" s="1955"/>
      <c r="R95" s="1956"/>
      <c r="S95" s="2104" t="s">
        <v>146</v>
      </c>
      <c r="T95" s="2105"/>
      <c r="U95" s="2106"/>
      <c r="V95" s="1874"/>
      <c r="W95" s="1875"/>
      <c r="X95" s="1876"/>
      <c r="Y95" s="50"/>
      <c r="AA95" s="47"/>
      <c r="AB95" s="17"/>
      <c r="AC95" s="17"/>
      <c r="AD95" s="17"/>
      <c r="AE95" s="17"/>
      <c r="AF95" s="17"/>
    </row>
    <row r="96" spans="1:32" ht="15" customHeight="1">
      <c r="B96" s="1818"/>
      <c r="C96" s="1818"/>
      <c r="D96" s="2011"/>
      <c r="E96" s="2012"/>
      <c r="F96" s="2013"/>
      <c r="G96" s="2050"/>
      <c r="H96" s="2014"/>
      <c r="I96" s="2014"/>
      <c r="J96" s="2120" t="s">
        <v>206</v>
      </c>
      <c r="K96" s="2121"/>
      <c r="L96" s="2122"/>
      <c r="M96" s="1987"/>
      <c r="N96" s="1987"/>
      <c r="O96" s="2116"/>
      <c r="P96" s="2014"/>
      <c r="Q96" s="2014"/>
      <c r="R96" s="2103"/>
      <c r="S96" s="2107"/>
      <c r="T96" s="2108"/>
      <c r="U96" s="2109"/>
      <c r="V96" s="2016"/>
      <c r="W96" s="2015"/>
      <c r="X96" s="2017"/>
      <c r="Y96" s="17"/>
      <c r="Z96" s="17"/>
      <c r="AA96" s="17"/>
      <c r="AB96" s="17"/>
      <c r="AC96" s="17"/>
      <c r="AD96" s="17"/>
      <c r="AE96" s="17"/>
      <c r="AF96" s="17"/>
    </row>
    <row r="97" spans="1:32" ht="16.5" customHeight="1">
      <c r="B97" s="19" t="s">
        <v>1</v>
      </c>
      <c r="C97" s="19" t="s">
        <v>2</v>
      </c>
      <c r="D97" s="2100" t="s">
        <v>207</v>
      </c>
      <c r="E97" s="2101"/>
      <c r="F97" s="2102"/>
      <c r="G97" s="2066" t="s">
        <v>208</v>
      </c>
      <c r="H97" s="2067"/>
      <c r="I97" s="2068"/>
      <c r="J97" s="2088" t="s">
        <v>209</v>
      </c>
      <c r="K97" s="2089"/>
      <c r="L97" s="2090"/>
      <c r="M97" s="2110" t="s">
        <v>210</v>
      </c>
      <c r="N97" s="2111"/>
      <c r="O97" s="2112"/>
      <c r="P97" s="2113" t="s">
        <v>211</v>
      </c>
      <c r="Q97" s="2067"/>
      <c r="R97" s="2068"/>
      <c r="S97" s="2066" t="s">
        <v>212</v>
      </c>
      <c r="T97" s="2067"/>
      <c r="U97" s="2068"/>
      <c r="V97" s="2094" t="s">
        <v>213</v>
      </c>
      <c r="W97" s="2095"/>
      <c r="X97" s="2096"/>
      <c r="Y97" s="19" t="s">
        <v>5</v>
      </c>
      <c r="Z97" s="18" t="s">
        <v>6</v>
      </c>
      <c r="AA97" s="20" t="s">
        <v>7</v>
      </c>
      <c r="AB97" s="24"/>
      <c r="AC97" s="17"/>
      <c r="AD97" s="17"/>
      <c r="AE97" s="17"/>
      <c r="AF97" s="17"/>
    </row>
    <row r="98" spans="1:32" ht="16.5" customHeight="1">
      <c r="B98" s="1087" t="s">
        <v>8</v>
      </c>
      <c r="C98" s="925" t="s">
        <v>9</v>
      </c>
      <c r="D98" s="907">
        <v>10.5</v>
      </c>
      <c r="E98" s="571">
        <v>20.5</v>
      </c>
      <c r="F98" s="587">
        <v>1</v>
      </c>
      <c r="G98" s="590"/>
      <c r="H98" s="572"/>
      <c r="I98" s="914"/>
      <c r="J98" s="602">
        <v>10.5</v>
      </c>
      <c r="K98" s="603">
        <v>20.5</v>
      </c>
      <c r="L98" s="921">
        <v>1</v>
      </c>
      <c r="M98" s="590"/>
      <c r="N98" s="572"/>
      <c r="O98" s="624"/>
      <c r="P98" s="1026">
        <v>7</v>
      </c>
      <c r="Q98" s="649">
        <v>16</v>
      </c>
      <c r="R98" s="650">
        <v>1</v>
      </c>
      <c r="S98" s="1198"/>
      <c r="T98" s="1199"/>
      <c r="U98" s="1200"/>
      <c r="V98" s="1201"/>
      <c r="W98" s="1202"/>
      <c r="X98" s="1203"/>
      <c r="Y98" s="365">
        <f t="shared" ref="Y98:Y119" si="12">SUM(E98-D98-F98+H98-G98-I98+K98-J98-L98+N98-M98-O98+Q98-P98-R98+T98-S98-U98+W98-V98-X98)</f>
        <v>26</v>
      </c>
      <c r="Z98" s="2"/>
      <c r="AA98" s="268"/>
      <c r="AB98" s="24"/>
      <c r="AC98" s="17"/>
      <c r="AD98" s="17"/>
      <c r="AE98" s="17"/>
      <c r="AF98" s="17"/>
    </row>
    <row r="99" spans="1:32" ht="16.5" customHeight="1">
      <c r="B99" s="2004" t="s">
        <v>11</v>
      </c>
      <c r="C99" s="204" t="s">
        <v>51</v>
      </c>
      <c r="D99" s="632">
        <v>7</v>
      </c>
      <c r="E99" s="633">
        <v>17</v>
      </c>
      <c r="F99" s="862">
        <v>1</v>
      </c>
      <c r="G99" s="292">
        <v>11.5</v>
      </c>
      <c r="H99" s="293">
        <v>20.5</v>
      </c>
      <c r="I99" s="294">
        <v>1</v>
      </c>
      <c r="J99" s="586"/>
      <c r="K99" s="570"/>
      <c r="L99" s="592"/>
      <c r="M99" s="586"/>
      <c r="N99" s="570"/>
      <c r="O99" s="890"/>
      <c r="P99" s="542">
        <v>10.5</v>
      </c>
      <c r="Q99" s="293">
        <v>20.5</v>
      </c>
      <c r="R99" s="294">
        <v>1</v>
      </c>
      <c r="S99" s="934">
        <v>13</v>
      </c>
      <c r="T99" s="933">
        <v>23</v>
      </c>
      <c r="U99" s="935">
        <v>1</v>
      </c>
      <c r="V99" s="244">
        <v>10</v>
      </c>
      <c r="W99" s="237">
        <v>20</v>
      </c>
      <c r="X99" s="546">
        <v>1</v>
      </c>
      <c r="Y99" s="441">
        <f t="shared" si="12"/>
        <v>44</v>
      </c>
      <c r="Z99" s="2"/>
      <c r="AA99" s="268"/>
      <c r="AB99" s="24"/>
      <c r="AC99" s="17"/>
      <c r="AD99" s="17"/>
      <c r="AE99" s="17"/>
      <c r="AF99" s="17"/>
    </row>
    <row r="100" spans="1:32" ht="16.5" customHeight="1">
      <c r="B100" s="2005"/>
      <c r="C100" s="205" t="s">
        <v>14</v>
      </c>
      <c r="D100" s="407">
        <v>10.5</v>
      </c>
      <c r="E100" s="196">
        <v>20.5</v>
      </c>
      <c r="F100" s="408">
        <v>1</v>
      </c>
      <c r="G100" s="606">
        <v>10.5</v>
      </c>
      <c r="H100" s="607">
        <v>20.5</v>
      </c>
      <c r="I100" s="905">
        <v>1</v>
      </c>
      <c r="J100" s="407">
        <v>10.5</v>
      </c>
      <c r="K100" s="196">
        <v>20.5</v>
      </c>
      <c r="L100" s="408">
        <v>1</v>
      </c>
      <c r="M100" s="606">
        <v>10.5</v>
      </c>
      <c r="N100" s="607">
        <v>20.5</v>
      </c>
      <c r="O100" s="608">
        <v>1</v>
      </c>
      <c r="P100" s="1231"/>
      <c r="Q100" s="1193"/>
      <c r="R100" s="1194"/>
      <c r="S100" s="1192"/>
      <c r="T100" s="1193"/>
      <c r="U100" s="1194"/>
      <c r="V100" s="1195"/>
      <c r="W100" s="1196"/>
      <c r="X100" s="1197"/>
      <c r="Y100" s="458">
        <f t="shared" si="12"/>
        <v>36</v>
      </c>
      <c r="Z100" s="525"/>
      <c r="AA100" s="56"/>
      <c r="AB100" s="24"/>
      <c r="AC100" s="17"/>
      <c r="AD100" s="17"/>
      <c r="AE100" s="17"/>
      <c r="AF100" s="17"/>
    </row>
    <row r="101" spans="1:32" ht="16.5" customHeight="1">
      <c r="B101" s="1952" t="s">
        <v>52</v>
      </c>
      <c r="C101" s="1135" t="s">
        <v>28</v>
      </c>
      <c r="D101" s="292">
        <v>10.5</v>
      </c>
      <c r="E101" s="293">
        <v>20.5</v>
      </c>
      <c r="F101" s="530">
        <v>1</v>
      </c>
      <c r="G101" s="589"/>
      <c r="H101" s="570"/>
      <c r="I101" s="592"/>
      <c r="J101" s="292">
        <v>10.5</v>
      </c>
      <c r="K101" s="293">
        <v>20.5</v>
      </c>
      <c r="L101" s="294">
        <v>1</v>
      </c>
      <c r="M101" s="1208">
        <v>9</v>
      </c>
      <c r="N101" s="1206">
        <v>19</v>
      </c>
      <c r="O101" s="1209">
        <v>1</v>
      </c>
      <c r="P101" s="1205">
        <v>7</v>
      </c>
      <c r="Q101" s="1206">
        <v>16</v>
      </c>
      <c r="R101" s="1209">
        <v>1</v>
      </c>
      <c r="S101" s="1205">
        <v>6</v>
      </c>
      <c r="T101" s="1206">
        <v>16</v>
      </c>
      <c r="U101" s="1207">
        <v>1</v>
      </c>
      <c r="V101" s="168"/>
      <c r="W101" s="169"/>
      <c r="X101" s="315"/>
      <c r="Y101" s="364">
        <f t="shared" si="12"/>
        <v>44</v>
      </c>
      <c r="Z101" s="2"/>
      <c r="AA101" s="268"/>
      <c r="AB101" s="24"/>
      <c r="AC101" s="17"/>
      <c r="AD101" s="17"/>
      <c r="AE101" s="17"/>
      <c r="AF101" s="17"/>
    </row>
    <row r="102" spans="1:32" ht="16.5" customHeight="1">
      <c r="B102" s="2006"/>
      <c r="C102" s="930" t="s">
        <v>21</v>
      </c>
      <c r="D102" s="186">
        <v>10.5</v>
      </c>
      <c r="E102" s="187">
        <v>20.5</v>
      </c>
      <c r="F102" s="192">
        <v>1</v>
      </c>
      <c r="G102" s="191">
        <v>10.5</v>
      </c>
      <c r="H102" s="187">
        <v>20.5</v>
      </c>
      <c r="I102" s="188">
        <v>1</v>
      </c>
      <c r="J102" s="635">
        <v>7</v>
      </c>
      <c r="K102" s="636">
        <v>17</v>
      </c>
      <c r="L102" s="651">
        <v>1</v>
      </c>
      <c r="M102" s="424"/>
      <c r="N102" s="198"/>
      <c r="O102" s="426"/>
      <c r="P102" s="191">
        <v>11.5</v>
      </c>
      <c r="Q102" s="187">
        <v>20.5</v>
      </c>
      <c r="R102" s="188">
        <v>1</v>
      </c>
      <c r="S102" s="950">
        <v>13</v>
      </c>
      <c r="T102" s="841">
        <v>23</v>
      </c>
      <c r="U102" s="951">
        <v>1</v>
      </c>
      <c r="V102" s="173"/>
      <c r="W102" s="174"/>
      <c r="X102" s="360"/>
      <c r="Y102" s="362">
        <f t="shared" si="12"/>
        <v>44</v>
      </c>
      <c r="Z102" s="297"/>
      <c r="AA102" s="55"/>
      <c r="AB102" s="24"/>
      <c r="AC102" s="17"/>
      <c r="AD102" s="17"/>
      <c r="AE102" s="17"/>
      <c r="AF102" s="17"/>
    </row>
    <row r="103" spans="1:32" ht="16.5" customHeight="1">
      <c r="B103" s="1953"/>
      <c r="C103" s="931" t="s">
        <v>53</v>
      </c>
      <c r="D103" s="936"/>
      <c r="E103" s="937"/>
      <c r="F103" s="1120"/>
      <c r="G103" s="1217">
        <v>7</v>
      </c>
      <c r="H103" s="940">
        <v>17</v>
      </c>
      <c r="I103" s="974">
        <v>1</v>
      </c>
      <c r="J103" s="936"/>
      <c r="K103" s="937"/>
      <c r="L103" s="938"/>
      <c r="M103" s="407">
        <v>11.5</v>
      </c>
      <c r="N103" s="196">
        <v>20.5</v>
      </c>
      <c r="O103" s="310">
        <v>1</v>
      </c>
      <c r="P103" s="309">
        <v>10.5</v>
      </c>
      <c r="Q103" s="196">
        <v>20.5</v>
      </c>
      <c r="R103" s="408">
        <v>1</v>
      </c>
      <c r="S103" s="844">
        <v>13</v>
      </c>
      <c r="T103" s="842">
        <v>23</v>
      </c>
      <c r="U103" s="949">
        <v>1</v>
      </c>
      <c r="V103" s="91">
        <v>10</v>
      </c>
      <c r="W103" s="92">
        <v>20</v>
      </c>
      <c r="X103" s="118">
        <v>1</v>
      </c>
      <c r="Y103" s="364">
        <f t="shared" si="12"/>
        <v>44</v>
      </c>
      <c r="Z103" s="525"/>
      <c r="AA103" s="56"/>
      <c r="AB103" s="24"/>
      <c r="AC103" s="17"/>
      <c r="AD103" s="17"/>
      <c r="AE103" s="17"/>
      <c r="AF103" s="17"/>
    </row>
    <row r="104" spans="1:32" ht="16.5" customHeight="1">
      <c r="B104" s="1831" t="s">
        <v>171</v>
      </c>
      <c r="C104" s="694" t="s">
        <v>25</v>
      </c>
      <c r="D104" s="1085"/>
      <c r="E104" s="325"/>
      <c r="F104" s="372"/>
      <c r="G104" s="589"/>
      <c r="H104" s="570"/>
      <c r="I104" s="592"/>
      <c r="J104" s="1208">
        <v>7</v>
      </c>
      <c r="K104" s="1206">
        <v>17</v>
      </c>
      <c r="L104" s="1207">
        <v>1</v>
      </c>
      <c r="M104" s="292">
        <v>11.5</v>
      </c>
      <c r="N104" s="293">
        <v>20.5</v>
      </c>
      <c r="O104" s="530">
        <v>1</v>
      </c>
      <c r="P104" s="542">
        <v>10.5</v>
      </c>
      <c r="Q104" s="293">
        <v>20.5</v>
      </c>
      <c r="R104" s="294">
        <v>1</v>
      </c>
      <c r="S104" s="292">
        <v>10</v>
      </c>
      <c r="T104" s="293">
        <v>20</v>
      </c>
      <c r="U104" s="530">
        <v>1</v>
      </c>
      <c r="V104" s="558">
        <v>7</v>
      </c>
      <c r="W104" s="237">
        <v>17</v>
      </c>
      <c r="X104" s="546">
        <v>1</v>
      </c>
      <c r="Y104" s="861">
        <f t="shared" si="12"/>
        <v>44</v>
      </c>
      <c r="Z104" s="441"/>
      <c r="AA104" s="368"/>
      <c r="AB104" s="24"/>
      <c r="AC104" s="17"/>
      <c r="AD104" s="17"/>
      <c r="AE104" s="17"/>
      <c r="AF104" s="17"/>
    </row>
    <row r="105" spans="1:32" ht="16.5" customHeight="1">
      <c r="B105" s="1831"/>
      <c r="C105" s="695" t="s">
        <v>27</v>
      </c>
      <c r="D105" s="186">
        <v>10.5</v>
      </c>
      <c r="E105" s="187">
        <v>20.5</v>
      </c>
      <c r="F105" s="192">
        <v>1</v>
      </c>
      <c r="G105" s="997">
        <v>7</v>
      </c>
      <c r="H105" s="636">
        <v>16</v>
      </c>
      <c r="I105" s="651">
        <v>1</v>
      </c>
      <c r="J105" s="1101"/>
      <c r="K105" s="1102"/>
      <c r="L105" s="1103"/>
      <c r="M105" s="186">
        <v>10.5</v>
      </c>
      <c r="N105" s="187">
        <v>20.5</v>
      </c>
      <c r="O105" s="192">
        <v>1</v>
      </c>
      <c r="P105" s="191">
        <v>10.5</v>
      </c>
      <c r="Q105" s="187">
        <v>20.5</v>
      </c>
      <c r="R105" s="188">
        <v>1</v>
      </c>
      <c r="S105" s="635">
        <v>7</v>
      </c>
      <c r="T105" s="636">
        <v>17</v>
      </c>
      <c r="U105" s="637">
        <v>1</v>
      </c>
      <c r="V105" s="559"/>
      <c r="W105" s="174"/>
      <c r="X105" s="175"/>
      <c r="Y105" s="735">
        <f t="shared" si="12"/>
        <v>44</v>
      </c>
      <c r="Z105" s="457"/>
      <c r="AA105" s="6"/>
      <c r="AB105" s="24"/>
      <c r="AC105" s="17"/>
      <c r="AD105" s="17"/>
      <c r="AE105" s="17"/>
      <c r="AF105" s="17"/>
    </row>
    <row r="106" spans="1:32" ht="16.5" customHeight="1">
      <c r="B106" s="1831"/>
      <c r="C106" s="695" t="s">
        <v>31</v>
      </c>
      <c r="D106" s="635">
        <v>7</v>
      </c>
      <c r="E106" s="636">
        <v>16</v>
      </c>
      <c r="F106" s="637">
        <v>1</v>
      </c>
      <c r="G106" s="191">
        <v>10.5</v>
      </c>
      <c r="H106" s="187">
        <v>20.5</v>
      </c>
      <c r="I106" s="188">
        <v>1</v>
      </c>
      <c r="J106" s="424"/>
      <c r="K106" s="198"/>
      <c r="L106" s="431"/>
      <c r="M106" s="424"/>
      <c r="N106" s="198"/>
      <c r="O106" s="426"/>
      <c r="P106" s="191">
        <v>10.5</v>
      </c>
      <c r="Q106" s="187">
        <v>20.5</v>
      </c>
      <c r="R106" s="188">
        <v>1</v>
      </c>
      <c r="S106" s="950">
        <v>13</v>
      </c>
      <c r="T106" s="841">
        <v>23</v>
      </c>
      <c r="U106" s="1121">
        <v>1</v>
      </c>
      <c r="V106" s="560">
        <v>10</v>
      </c>
      <c r="W106" s="80">
        <v>20</v>
      </c>
      <c r="X106" s="81">
        <v>1</v>
      </c>
      <c r="Y106" s="735">
        <f t="shared" si="12"/>
        <v>44</v>
      </c>
      <c r="Z106" s="457"/>
      <c r="AA106" s="6"/>
      <c r="AB106" s="24"/>
      <c r="AC106" s="17"/>
      <c r="AD106" s="17"/>
      <c r="AE106" s="17"/>
      <c r="AF106" s="17"/>
    </row>
    <row r="107" spans="1:32" ht="16.5" customHeight="1">
      <c r="B107" s="1831"/>
      <c r="C107" s="695" t="s">
        <v>55</v>
      </c>
      <c r="D107" s="186">
        <v>10.5</v>
      </c>
      <c r="E107" s="187">
        <v>20.5</v>
      </c>
      <c r="F107" s="192">
        <v>1</v>
      </c>
      <c r="G107" s="191">
        <v>10.5</v>
      </c>
      <c r="H107" s="187">
        <v>20.5</v>
      </c>
      <c r="I107" s="188">
        <v>1</v>
      </c>
      <c r="J107" s="186">
        <v>10.5</v>
      </c>
      <c r="K107" s="187">
        <v>20.5</v>
      </c>
      <c r="L107" s="188">
        <v>1</v>
      </c>
      <c r="M107" s="186">
        <v>10.5</v>
      </c>
      <c r="N107" s="187">
        <v>20.5</v>
      </c>
      <c r="O107" s="192">
        <v>1</v>
      </c>
      <c r="P107" s="1226">
        <v>20</v>
      </c>
      <c r="Q107" s="1210">
        <v>6</v>
      </c>
      <c r="R107" s="1211">
        <v>1</v>
      </c>
      <c r="S107" s="424"/>
      <c r="T107" s="198"/>
      <c r="U107" s="426"/>
      <c r="V107" s="559"/>
      <c r="W107" s="174"/>
      <c r="X107" s="175"/>
      <c r="Y107" s="735">
        <f t="shared" si="12"/>
        <v>21</v>
      </c>
      <c r="Z107" s="457"/>
      <c r="AA107" s="6"/>
      <c r="AB107" s="24"/>
      <c r="AC107" s="17"/>
      <c r="AD107" s="17"/>
      <c r="AE107" s="17"/>
      <c r="AF107" s="17"/>
    </row>
    <row r="108" spans="1:32" ht="16.5" customHeight="1">
      <c r="B108" s="1831"/>
      <c r="C108" s="695" t="s">
        <v>172</v>
      </c>
      <c r="D108" s="424"/>
      <c r="E108" s="198"/>
      <c r="F108" s="426"/>
      <c r="G108" s="191">
        <v>10.5</v>
      </c>
      <c r="H108" s="187">
        <v>20.5</v>
      </c>
      <c r="I108" s="188">
        <v>1</v>
      </c>
      <c r="J108" s="186">
        <v>10.5</v>
      </c>
      <c r="K108" s="187">
        <v>20.5</v>
      </c>
      <c r="L108" s="188">
        <v>1</v>
      </c>
      <c r="M108" s="424"/>
      <c r="N108" s="198"/>
      <c r="O108" s="426"/>
      <c r="P108" s="997">
        <v>7</v>
      </c>
      <c r="Q108" s="636">
        <v>16</v>
      </c>
      <c r="R108" s="651">
        <v>1</v>
      </c>
      <c r="S108" s="950">
        <v>13</v>
      </c>
      <c r="T108" s="841">
        <v>23</v>
      </c>
      <c r="U108" s="1121">
        <v>1</v>
      </c>
      <c r="V108" s="560">
        <v>10</v>
      </c>
      <c r="W108" s="80">
        <v>20</v>
      </c>
      <c r="X108" s="81">
        <v>1</v>
      </c>
      <c r="Y108" s="735">
        <f t="shared" si="12"/>
        <v>44</v>
      </c>
      <c r="Z108" s="457"/>
      <c r="AA108" s="6"/>
      <c r="AB108" s="24"/>
      <c r="AC108" s="17"/>
      <c r="AD108" s="17"/>
      <c r="AE108" s="17"/>
      <c r="AF108" s="17"/>
    </row>
    <row r="109" spans="1:32" ht="16.5" customHeight="1">
      <c r="B109" s="1831"/>
      <c r="C109" s="695" t="s">
        <v>87</v>
      </c>
      <c r="D109" s="424"/>
      <c r="E109" s="198"/>
      <c r="F109" s="426"/>
      <c r="G109" s="191">
        <v>10.5</v>
      </c>
      <c r="H109" s="187">
        <v>20.5</v>
      </c>
      <c r="I109" s="188">
        <v>1</v>
      </c>
      <c r="J109" s="950">
        <v>8</v>
      </c>
      <c r="K109" s="841">
        <v>17</v>
      </c>
      <c r="L109" s="951">
        <v>1</v>
      </c>
      <c r="M109" s="186">
        <v>10.5</v>
      </c>
      <c r="N109" s="187">
        <v>20.5</v>
      </c>
      <c r="O109" s="192">
        <v>1</v>
      </c>
      <c r="P109" s="191">
        <v>10.5</v>
      </c>
      <c r="Q109" s="187">
        <v>20.5</v>
      </c>
      <c r="R109" s="188">
        <v>1</v>
      </c>
      <c r="S109" s="950">
        <v>13</v>
      </c>
      <c r="T109" s="841">
        <v>23</v>
      </c>
      <c r="U109" s="1121">
        <v>1</v>
      </c>
      <c r="V109" s="559"/>
      <c r="W109" s="174"/>
      <c r="X109" s="175"/>
      <c r="Y109" s="735">
        <f t="shared" si="12"/>
        <v>44</v>
      </c>
      <c r="Z109" s="457"/>
      <c r="AA109" s="6"/>
      <c r="AB109" s="24"/>
      <c r="AC109" s="17"/>
      <c r="AD109" s="17"/>
      <c r="AE109" s="17"/>
      <c r="AF109" s="17"/>
    </row>
    <row r="110" spans="1:32" ht="16.5" customHeight="1">
      <c r="B110" s="1831"/>
      <c r="C110" s="695" t="s">
        <v>104</v>
      </c>
      <c r="D110" s="186">
        <v>10.5</v>
      </c>
      <c r="E110" s="187">
        <v>20.5</v>
      </c>
      <c r="F110" s="192">
        <v>1</v>
      </c>
      <c r="G110" s="997">
        <v>7</v>
      </c>
      <c r="H110" s="636">
        <v>16</v>
      </c>
      <c r="I110" s="651">
        <v>1</v>
      </c>
      <c r="J110" s="186">
        <v>10.5</v>
      </c>
      <c r="K110" s="187">
        <v>20.5</v>
      </c>
      <c r="L110" s="188">
        <v>1</v>
      </c>
      <c r="M110" s="186">
        <v>10.5</v>
      </c>
      <c r="N110" s="187">
        <v>20.5</v>
      </c>
      <c r="O110" s="192">
        <v>1</v>
      </c>
      <c r="P110" s="425"/>
      <c r="Q110" s="198"/>
      <c r="R110" s="431"/>
      <c r="S110" s="950">
        <v>13</v>
      </c>
      <c r="T110" s="841">
        <v>23</v>
      </c>
      <c r="U110" s="1121">
        <v>1</v>
      </c>
      <c r="V110" s="559"/>
      <c r="W110" s="174"/>
      <c r="X110" s="175"/>
      <c r="Y110" s="735">
        <f t="shared" si="12"/>
        <v>44</v>
      </c>
      <c r="Z110" s="457"/>
      <c r="AA110" s="6"/>
      <c r="AB110" s="24"/>
      <c r="AC110" s="17"/>
      <c r="AD110" s="17"/>
      <c r="AE110" s="17"/>
      <c r="AF110" s="17"/>
    </row>
    <row r="111" spans="1:32" ht="16.5" customHeight="1">
      <c r="B111" s="1110"/>
      <c r="C111" s="932" t="s">
        <v>187</v>
      </c>
      <c r="D111" s="936"/>
      <c r="E111" s="937"/>
      <c r="F111" s="1120"/>
      <c r="G111" s="1078">
        <v>10.5</v>
      </c>
      <c r="H111" s="607">
        <v>20.5</v>
      </c>
      <c r="I111" s="905">
        <v>1</v>
      </c>
      <c r="J111" s="606">
        <v>10.5</v>
      </c>
      <c r="K111" s="607">
        <v>20.5</v>
      </c>
      <c r="L111" s="905">
        <v>1</v>
      </c>
      <c r="M111" s="939">
        <v>7</v>
      </c>
      <c r="N111" s="940">
        <v>16</v>
      </c>
      <c r="O111" s="941">
        <v>1</v>
      </c>
      <c r="P111" s="1078">
        <v>10.5</v>
      </c>
      <c r="Q111" s="607">
        <v>20.5</v>
      </c>
      <c r="R111" s="905">
        <v>1</v>
      </c>
      <c r="S111" s="847">
        <v>7</v>
      </c>
      <c r="T111" s="848">
        <v>17</v>
      </c>
      <c r="U111" s="849">
        <v>1</v>
      </c>
      <c r="V111" s="597"/>
      <c r="W111" s="212"/>
      <c r="X111" s="307"/>
      <c r="Y111" s="736">
        <f t="shared" si="12"/>
        <v>44</v>
      </c>
      <c r="Z111" s="500"/>
      <c r="AA111" s="369"/>
      <c r="AB111" s="24"/>
      <c r="AC111" s="17"/>
      <c r="AD111" s="17"/>
      <c r="AE111" s="17"/>
      <c r="AF111" s="17"/>
    </row>
    <row r="112" spans="1:32" ht="16.5" customHeight="1">
      <c r="A112" s="50"/>
      <c r="B112" s="1830" t="s">
        <v>116</v>
      </c>
      <c r="C112" s="956" t="s">
        <v>32</v>
      </c>
      <c r="D112" s="1222"/>
      <c r="E112" s="1130"/>
      <c r="F112" s="1181"/>
      <c r="G112" s="65"/>
      <c r="H112" s="66"/>
      <c r="I112" s="67"/>
      <c r="J112" s="1085"/>
      <c r="K112" s="325"/>
      <c r="L112" s="870"/>
      <c r="M112" s="1228"/>
      <c r="N112" s="1229"/>
      <c r="O112" s="1230"/>
      <c r="P112" s="1227">
        <v>20</v>
      </c>
      <c r="Q112" s="1212">
        <v>6</v>
      </c>
      <c r="R112" s="1213">
        <v>1</v>
      </c>
      <c r="S112" s="218"/>
      <c r="T112" s="166"/>
      <c r="U112" s="167"/>
      <c r="V112" s="244">
        <v>10</v>
      </c>
      <c r="W112" s="237">
        <v>20</v>
      </c>
      <c r="X112" s="546">
        <v>1</v>
      </c>
      <c r="Y112" s="736">
        <f t="shared" si="12"/>
        <v>-6</v>
      </c>
      <c r="Z112" s="524"/>
      <c r="AA112" s="54"/>
      <c r="AB112" s="17"/>
      <c r="AC112" s="17"/>
      <c r="AD112" s="17"/>
      <c r="AE112" s="17"/>
      <c r="AF112" s="17"/>
    </row>
    <row r="113" spans="1:32" ht="16.5" customHeight="1">
      <c r="A113" s="50"/>
      <c r="B113" s="1831"/>
      <c r="C113" s="957" t="s">
        <v>114</v>
      </c>
      <c r="D113" s="1139"/>
      <c r="E113" s="317"/>
      <c r="F113" s="318"/>
      <c r="G113" s="262"/>
      <c r="H113" s="171"/>
      <c r="I113" s="172"/>
      <c r="J113" s="186">
        <v>15.5</v>
      </c>
      <c r="K113" s="187">
        <v>20.5</v>
      </c>
      <c r="L113" s="188"/>
      <c r="M113" s="225"/>
      <c r="N113" s="226"/>
      <c r="O113" s="430"/>
      <c r="P113" s="406">
        <v>15.5</v>
      </c>
      <c r="Q113" s="77">
        <v>20.5</v>
      </c>
      <c r="R113" s="78"/>
      <c r="S113" s="186">
        <v>10</v>
      </c>
      <c r="T113" s="187">
        <v>17</v>
      </c>
      <c r="U113" s="188">
        <v>1</v>
      </c>
      <c r="V113" s="79">
        <v>11</v>
      </c>
      <c r="W113" s="80">
        <v>20</v>
      </c>
      <c r="X113" s="81">
        <v>1</v>
      </c>
      <c r="Y113" s="457">
        <f t="shared" si="12"/>
        <v>24</v>
      </c>
      <c r="Z113" s="297"/>
      <c r="AA113" s="55"/>
      <c r="AB113" s="17"/>
      <c r="AC113" s="17"/>
      <c r="AD113" s="17"/>
      <c r="AE113" s="17"/>
      <c r="AF113" s="17"/>
    </row>
    <row r="114" spans="1:32" ht="16.5" customHeight="1">
      <c r="A114" s="50"/>
      <c r="B114" s="1831"/>
      <c r="C114" s="957" t="s">
        <v>89</v>
      </c>
      <c r="D114" s="417"/>
      <c r="E114" s="74"/>
      <c r="F114" s="75"/>
      <c r="G114" s="76"/>
      <c r="H114" s="77"/>
      <c r="I114" s="78"/>
      <c r="J114" s="424"/>
      <c r="K114" s="198"/>
      <c r="L114" s="431"/>
      <c r="M114" s="225"/>
      <c r="N114" s="226"/>
      <c r="O114" s="430"/>
      <c r="P114" s="406">
        <v>15.5</v>
      </c>
      <c r="Q114" s="77">
        <v>20.5</v>
      </c>
      <c r="R114" s="78"/>
      <c r="S114" s="186">
        <v>10</v>
      </c>
      <c r="T114" s="187">
        <v>18</v>
      </c>
      <c r="U114" s="188">
        <v>1</v>
      </c>
      <c r="V114" s="79">
        <v>7</v>
      </c>
      <c r="W114" s="80">
        <v>17</v>
      </c>
      <c r="X114" s="81">
        <v>1</v>
      </c>
      <c r="Y114" s="457">
        <f t="shared" si="12"/>
        <v>21</v>
      </c>
      <c r="Z114" s="297"/>
      <c r="AA114" s="55"/>
      <c r="AB114" s="17"/>
      <c r="AC114" s="17"/>
      <c r="AD114" s="17"/>
      <c r="AE114" s="17"/>
      <c r="AF114" s="17"/>
    </row>
    <row r="115" spans="1:32" ht="16.5" customHeight="1">
      <c r="A115" s="50"/>
      <c r="B115" s="1831"/>
      <c r="C115" s="957" t="s">
        <v>38</v>
      </c>
      <c r="D115" s="417"/>
      <c r="E115" s="74"/>
      <c r="F115" s="75"/>
      <c r="G115" s="76"/>
      <c r="H115" s="77"/>
      <c r="I115" s="78"/>
      <c r="J115" s="635">
        <v>7</v>
      </c>
      <c r="K115" s="636">
        <v>15</v>
      </c>
      <c r="L115" s="651">
        <v>1</v>
      </c>
      <c r="M115" s="225"/>
      <c r="N115" s="226"/>
      <c r="O115" s="430"/>
      <c r="P115" s="170"/>
      <c r="Q115" s="171"/>
      <c r="R115" s="172"/>
      <c r="S115" s="950">
        <v>14</v>
      </c>
      <c r="T115" s="841">
        <v>23</v>
      </c>
      <c r="U115" s="951">
        <v>1</v>
      </c>
      <c r="V115" s="79">
        <v>12</v>
      </c>
      <c r="W115" s="80">
        <v>20</v>
      </c>
      <c r="X115" s="81">
        <v>1</v>
      </c>
      <c r="Y115" s="457">
        <f t="shared" si="12"/>
        <v>22</v>
      </c>
      <c r="Z115" s="297"/>
      <c r="AA115" s="55"/>
      <c r="AB115" s="17"/>
      <c r="AC115" s="17"/>
      <c r="AD115" s="17"/>
      <c r="AE115" s="17"/>
      <c r="AF115" s="17"/>
    </row>
    <row r="116" spans="1:32" ht="16.5" customHeight="1">
      <c r="A116" s="50"/>
      <c r="B116" s="1831"/>
      <c r="C116" s="957" t="s">
        <v>188</v>
      </c>
      <c r="D116" s="418"/>
      <c r="E116" s="226"/>
      <c r="F116" s="248"/>
      <c r="G116" s="225"/>
      <c r="H116" s="226"/>
      <c r="I116" s="248"/>
      <c r="J116" s="186">
        <v>15.5</v>
      </c>
      <c r="K116" s="187">
        <v>20.5</v>
      </c>
      <c r="L116" s="188"/>
      <c r="M116" s="73">
        <v>15.5</v>
      </c>
      <c r="N116" s="74">
        <v>20.5</v>
      </c>
      <c r="O116" s="480"/>
      <c r="P116" s="1139">
        <v>7</v>
      </c>
      <c r="Q116" s="317">
        <v>12</v>
      </c>
      <c r="R116" s="318"/>
      <c r="S116" s="950">
        <v>14</v>
      </c>
      <c r="T116" s="841">
        <v>23</v>
      </c>
      <c r="U116" s="951">
        <v>1</v>
      </c>
      <c r="V116" s="79">
        <v>10</v>
      </c>
      <c r="W116" s="80">
        <v>20</v>
      </c>
      <c r="X116" s="81">
        <v>1</v>
      </c>
      <c r="Y116" s="457">
        <f t="shared" si="12"/>
        <v>32</v>
      </c>
      <c r="Z116" s="297"/>
      <c r="AA116" s="55"/>
      <c r="AB116" s="17"/>
      <c r="AC116" s="17"/>
      <c r="AD116" s="17"/>
      <c r="AE116" s="17"/>
      <c r="AF116" s="17"/>
    </row>
    <row r="117" spans="1:32" ht="16.5" customHeight="1">
      <c r="A117" s="50"/>
      <c r="B117" s="1831"/>
      <c r="C117" s="957" t="s">
        <v>36</v>
      </c>
      <c r="D117" s="417"/>
      <c r="E117" s="74"/>
      <c r="F117" s="75"/>
      <c r="G117" s="316"/>
      <c r="H117" s="317"/>
      <c r="I117" s="318"/>
      <c r="J117" s="424"/>
      <c r="K117" s="198"/>
      <c r="L117" s="431"/>
      <c r="M117" s="225"/>
      <c r="N117" s="226"/>
      <c r="O117" s="430"/>
      <c r="P117" s="417">
        <v>16.5</v>
      </c>
      <c r="Q117" s="74">
        <v>20.5</v>
      </c>
      <c r="R117" s="75"/>
      <c r="S117" s="186">
        <v>12.5</v>
      </c>
      <c r="T117" s="187">
        <v>20.5</v>
      </c>
      <c r="U117" s="188">
        <v>1</v>
      </c>
      <c r="V117" s="79">
        <v>11</v>
      </c>
      <c r="W117" s="80">
        <v>20</v>
      </c>
      <c r="X117" s="81">
        <v>1</v>
      </c>
      <c r="Y117" s="457">
        <f t="shared" si="12"/>
        <v>19</v>
      </c>
      <c r="Z117" s="297"/>
      <c r="AA117" s="55"/>
      <c r="AB117" s="17"/>
      <c r="AC117" s="17"/>
      <c r="AD117" s="17"/>
      <c r="AE117" s="17"/>
      <c r="AF117" s="17"/>
    </row>
    <row r="118" spans="1:32" ht="16.5" customHeight="1">
      <c r="A118" s="50"/>
      <c r="B118" s="1831"/>
      <c r="C118" s="957" t="s">
        <v>169</v>
      </c>
      <c r="D118" s="417"/>
      <c r="E118" s="74"/>
      <c r="F118" s="75"/>
      <c r="G118" s="225"/>
      <c r="H118" s="226"/>
      <c r="I118" s="248"/>
      <c r="J118" s="186">
        <v>16.5</v>
      </c>
      <c r="K118" s="187">
        <v>20.5</v>
      </c>
      <c r="L118" s="188"/>
      <c r="M118" s="316">
        <v>7</v>
      </c>
      <c r="N118" s="317">
        <v>15</v>
      </c>
      <c r="O118" s="638">
        <v>1</v>
      </c>
      <c r="P118" s="417">
        <v>16.5</v>
      </c>
      <c r="Q118" s="74">
        <v>20.5</v>
      </c>
      <c r="R118" s="75"/>
      <c r="S118" s="186">
        <v>10.5</v>
      </c>
      <c r="T118" s="187">
        <v>20.5</v>
      </c>
      <c r="U118" s="188">
        <v>1</v>
      </c>
      <c r="V118" s="79">
        <v>8</v>
      </c>
      <c r="W118" s="80">
        <v>18</v>
      </c>
      <c r="X118" s="81">
        <v>1</v>
      </c>
      <c r="Y118" s="457">
        <f t="shared" si="12"/>
        <v>33</v>
      </c>
      <c r="Z118" s="297"/>
      <c r="AA118" s="55"/>
      <c r="AB118" s="17"/>
      <c r="AC118" s="17"/>
      <c r="AD118" s="17"/>
      <c r="AE118" s="17"/>
      <c r="AF118" s="17"/>
    </row>
    <row r="119" spans="1:32" ht="16.5" customHeight="1">
      <c r="A119" s="50"/>
      <c r="B119" s="1831"/>
      <c r="C119" s="957" t="s">
        <v>117</v>
      </c>
      <c r="D119" s="1078"/>
      <c r="E119" s="607"/>
      <c r="F119" s="905"/>
      <c r="G119" s="936"/>
      <c r="H119" s="937"/>
      <c r="I119" s="938"/>
      <c r="J119" s="606">
        <v>16.5</v>
      </c>
      <c r="K119" s="607">
        <v>20.5</v>
      </c>
      <c r="L119" s="905"/>
      <c r="M119" s="186">
        <v>16.5</v>
      </c>
      <c r="N119" s="187">
        <v>20.5</v>
      </c>
      <c r="O119" s="192"/>
      <c r="P119" s="945"/>
      <c r="Q119" s="937"/>
      <c r="R119" s="938"/>
      <c r="S119" s="847">
        <v>7</v>
      </c>
      <c r="T119" s="848">
        <v>16</v>
      </c>
      <c r="U119" s="1016">
        <v>1</v>
      </c>
      <c r="V119" s="330">
        <v>11</v>
      </c>
      <c r="W119" s="331">
        <v>20</v>
      </c>
      <c r="X119" s="655">
        <v>1</v>
      </c>
      <c r="Y119" s="500">
        <f t="shared" si="12"/>
        <v>24</v>
      </c>
      <c r="Z119" s="298"/>
      <c r="AA119" s="269"/>
      <c r="AB119" s="17"/>
      <c r="AC119" s="17"/>
      <c r="AD119" s="17"/>
      <c r="AE119" s="17"/>
      <c r="AF119" s="17"/>
    </row>
    <row r="120" spans="1:32" ht="16.5" customHeight="1">
      <c r="A120" s="50"/>
      <c r="B120" s="1832"/>
      <c r="C120" s="958" t="s">
        <v>214</v>
      </c>
      <c r="D120" s="945"/>
      <c r="E120" s="937"/>
      <c r="F120" s="938"/>
      <c r="G120" s="606"/>
      <c r="H120" s="607"/>
      <c r="I120" s="905"/>
      <c r="J120" s="936"/>
      <c r="K120" s="937"/>
      <c r="L120" s="938"/>
      <c r="M120" s="847">
        <v>7</v>
      </c>
      <c r="N120" s="848">
        <v>15</v>
      </c>
      <c r="O120" s="849">
        <v>1</v>
      </c>
      <c r="P120" s="1078">
        <v>16.5</v>
      </c>
      <c r="Q120" s="607">
        <v>20.5</v>
      </c>
      <c r="R120" s="905"/>
      <c r="S120" s="606">
        <v>10</v>
      </c>
      <c r="T120" s="607">
        <v>17</v>
      </c>
      <c r="U120" s="905">
        <v>1</v>
      </c>
      <c r="V120" s="330">
        <v>13</v>
      </c>
      <c r="W120" s="331">
        <v>20</v>
      </c>
      <c r="X120" s="655">
        <v>1</v>
      </c>
      <c r="Y120" s="736">
        <f>SUM(E120-D120-F120+H120-G120-I120+K120-J120-L120+N120-M120-O120+Q120-P120-R120+T120-S120-U120+W120-V120-X120)</f>
        <v>23</v>
      </c>
      <c r="Z120" s="500"/>
      <c r="AA120" s="369"/>
      <c r="AB120" s="17"/>
      <c r="AC120" s="17"/>
      <c r="AD120" s="17"/>
      <c r="AE120" s="17"/>
      <c r="AF120" s="17"/>
    </row>
    <row r="121" spans="1:32">
      <c r="B121" s="32"/>
      <c r="C121" s="295"/>
      <c r="D121" s="1828">
        <f>COUNT(D98:D120)</f>
        <v>9</v>
      </c>
      <c r="E121" s="1829"/>
      <c r="F121" s="1829"/>
      <c r="G121" s="1828">
        <f t="shared" ref="G121" si="13">COUNT(G98:G120)</f>
        <v>11</v>
      </c>
      <c r="H121" s="1829"/>
      <c r="I121" s="1829"/>
      <c r="J121" s="1828">
        <f t="shared" ref="J121" si="14">COUNT(J98:J120)</f>
        <v>15</v>
      </c>
      <c r="K121" s="1829"/>
      <c r="L121" s="1829"/>
      <c r="M121" s="1828">
        <f t="shared" ref="M121" si="15">COUNT(M98:M120)</f>
        <v>13</v>
      </c>
      <c r="N121" s="1829"/>
      <c r="O121" s="1829"/>
      <c r="P121" s="1828">
        <f t="shared" ref="P121" si="16">COUNT(P98:P120)</f>
        <v>19</v>
      </c>
      <c r="Q121" s="1829"/>
      <c r="R121" s="1829"/>
      <c r="S121" s="1828">
        <f t="shared" ref="S121" si="17">COUNT(S98:S120)</f>
        <v>19</v>
      </c>
      <c r="T121" s="1829"/>
      <c r="U121" s="1829"/>
      <c r="V121" s="1828">
        <f t="shared" ref="V121" si="18">COUNT(V98:V120)</f>
        <v>14</v>
      </c>
      <c r="W121" s="1829"/>
      <c r="X121" s="1833"/>
      <c r="Y121" s="23"/>
      <c r="Z121" s="23"/>
      <c r="AA121" s="17"/>
      <c r="AB121" s="17"/>
      <c r="AC121" s="17"/>
      <c r="AD121" s="17"/>
      <c r="AE121" s="17"/>
      <c r="AF121" s="17"/>
    </row>
    <row r="122" spans="1:32"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AB122" s="17"/>
      <c r="AC122" s="17"/>
      <c r="AD122" s="17"/>
      <c r="AE122" s="17"/>
      <c r="AF122" s="17"/>
    </row>
    <row r="123" spans="1:32"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2072"/>
      <c r="Q123" s="2072"/>
      <c r="R123" s="2072"/>
      <c r="S123" s="50"/>
      <c r="T123" s="50"/>
      <c r="U123" s="50"/>
      <c r="V123" s="50"/>
      <c r="W123" s="50"/>
      <c r="X123" s="50"/>
      <c r="AB123" s="17"/>
      <c r="AC123" s="17"/>
      <c r="AD123" s="17"/>
      <c r="AE123" s="17"/>
      <c r="AF123" s="17"/>
    </row>
    <row r="124" spans="1:32" ht="15.75" customHeight="1">
      <c r="C124" s="50"/>
      <c r="D124" s="1944" t="s">
        <v>215</v>
      </c>
      <c r="E124" s="1945"/>
      <c r="F124" s="1946"/>
      <c r="G124" s="50"/>
      <c r="H124" s="50"/>
      <c r="I124" s="50"/>
      <c r="J124" s="50"/>
      <c r="K124" s="50"/>
      <c r="L124" s="50"/>
      <c r="M124" s="50"/>
      <c r="N124" s="50"/>
      <c r="O124" s="50"/>
      <c r="P124" s="2073"/>
      <c r="Q124" s="2073"/>
      <c r="R124" s="2073"/>
      <c r="S124" s="50"/>
      <c r="T124" s="50"/>
      <c r="U124" s="50"/>
      <c r="V124" s="50"/>
      <c r="W124" s="50"/>
      <c r="X124" s="50"/>
      <c r="AB124" s="17"/>
      <c r="AC124" s="17"/>
      <c r="AD124" s="17"/>
      <c r="AE124" s="17"/>
      <c r="AF124" s="17"/>
    </row>
    <row r="125" spans="1:32" ht="18" customHeight="1">
      <c r="B125" s="1817" t="str">
        <f>B95</f>
        <v xml:space="preserve">FEBRERO </v>
      </c>
      <c r="C125" s="1817"/>
      <c r="D125" s="2051" t="s">
        <v>216</v>
      </c>
      <c r="E125" s="2052"/>
      <c r="F125" s="2053"/>
      <c r="G125" s="1955"/>
      <c r="H125" s="1955"/>
      <c r="I125" s="1955"/>
      <c r="J125" s="1957" t="s">
        <v>217</v>
      </c>
      <c r="K125" s="1958"/>
      <c r="L125" s="1959"/>
      <c r="M125" s="2059" t="s">
        <v>218</v>
      </c>
      <c r="N125" s="2059"/>
      <c r="O125" s="2059"/>
      <c r="P125" s="2062" t="s">
        <v>219</v>
      </c>
      <c r="Q125" s="2060"/>
      <c r="R125" s="2061"/>
      <c r="S125" s="2086" t="s">
        <v>61</v>
      </c>
      <c r="T125" s="2086"/>
      <c r="U125" s="2086"/>
      <c r="V125" s="1874"/>
      <c r="W125" s="1875"/>
      <c r="X125" s="1876"/>
      <c r="Y125" s="50"/>
      <c r="AA125" s="47"/>
      <c r="AB125" s="17"/>
      <c r="AC125" s="17"/>
      <c r="AD125" s="17"/>
      <c r="AE125" s="17"/>
      <c r="AF125" s="17"/>
    </row>
    <row r="126" spans="1:32" ht="15" customHeight="1">
      <c r="B126" s="1818"/>
      <c r="C126" s="1818"/>
      <c r="D126" s="2051" t="s">
        <v>204</v>
      </c>
      <c r="E126" s="2052"/>
      <c r="F126" s="2053"/>
      <c r="G126" s="2050"/>
      <c r="H126" s="2014"/>
      <c r="I126" s="2014"/>
      <c r="J126" s="1957" t="s">
        <v>220</v>
      </c>
      <c r="K126" s="1958"/>
      <c r="L126" s="1959"/>
      <c r="M126" s="2060" t="s">
        <v>175</v>
      </c>
      <c r="N126" s="2060"/>
      <c r="O126" s="2061"/>
      <c r="P126" s="2063" t="s">
        <v>221</v>
      </c>
      <c r="Q126" s="2064"/>
      <c r="R126" s="2065"/>
      <c r="S126" s="2087"/>
      <c r="T126" s="2087"/>
      <c r="U126" s="2087"/>
      <c r="V126" s="2016"/>
      <c r="W126" s="2015"/>
      <c r="X126" s="2017"/>
      <c r="Y126" s="17"/>
      <c r="Z126" s="17"/>
      <c r="AA126" s="17"/>
      <c r="AB126" s="17"/>
      <c r="AC126" s="17"/>
      <c r="AD126" s="17"/>
      <c r="AE126" s="17"/>
      <c r="AF126" s="17"/>
    </row>
    <row r="127" spans="1:32" ht="16.5" customHeight="1">
      <c r="B127" s="19" t="s">
        <v>1</v>
      </c>
      <c r="C127" s="19" t="s">
        <v>2</v>
      </c>
      <c r="D127" s="2100" t="s">
        <v>222</v>
      </c>
      <c r="E127" s="2101"/>
      <c r="F127" s="2102"/>
      <c r="G127" s="2066" t="s">
        <v>223</v>
      </c>
      <c r="H127" s="2067"/>
      <c r="I127" s="2068"/>
      <c r="J127" s="2088" t="s">
        <v>224</v>
      </c>
      <c r="K127" s="2089"/>
      <c r="L127" s="2090"/>
      <c r="M127" s="2091" t="s">
        <v>225</v>
      </c>
      <c r="N127" s="2092"/>
      <c r="O127" s="2093"/>
      <c r="P127" s="2066" t="s">
        <v>226</v>
      </c>
      <c r="Q127" s="2067"/>
      <c r="R127" s="2068"/>
      <c r="S127" s="2066" t="s">
        <v>227</v>
      </c>
      <c r="T127" s="2067"/>
      <c r="U127" s="2068"/>
      <c r="V127" s="2094"/>
      <c r="W127" s="2095"/>
      <c r="X127" s="2096"/>
      <c r="Y127" s="19" t="s">
        <v>5</v>
      </c>
      <c r="Z127" s="1086" t="s">
        <v>6</v>
      </c>
      <c r="AA127" s="18" t="s">
        <v>7</v>
      </c>
      <c r="AB127" s="17"/>
      <c r="AC127" s="17"/>
      <c r="AD127" s="17"/>
      <c r="AE127" s="17"/>
      <c r="AF127" s="17"/>
    </row>
    <row r="128" spans="1:32" ht="16.5" customHeight="1">
      <c r="B128" s="1087" t="s">
        <v>8</v>
      </c>
      <c r="C128" s="925" t="s">
        <v>9</v>
      </c>
      <c r="D128" s="1214"/>
      <c r="E128" s="1215"/>
      <c r="F128" s="1216"/>
      <c r="G128" s="1214"/>
      <c r="H128" s="1215"/>
      <c r="I128" s="1216"/>
      <c r="J128" s="1214"/>
      <c r="K128" s="1215"/>
      <c r="L128" s="1216"/>
      <c r="M128" s="1214"/>
      <c r="N128" s="1215"/>
      <c r="O128" s="1216"/>
      <c r="P128" s="1214"/>
      <c r="Q128" s="1215"/>
      <c r="R128" s="1216"/>
      <c r="S128" s="586"/>
      <c r="T128" s="570"/>
      <c r="U128" s="592"/>
      <c r="V128" s="682"/>
      <c r="W128" s="683"/>
      <c r="X128" s="684"/>
      <c r="Y128" s="365">
        <f>SUM(E128-D128-F128+H128-G128-I128+K128-J128-L128+N128-M128-O128+Q128-P128-R128+T128-S128-U128+W128-V128-X128)</f>
        <v>0</v>
      </c>
      <c r="Z128" s="1105"/>
      <c r="AA128" s="368"/>
      <c r="AB128" s="17"/>
      <c r="AC128" s="17"/>
      <c r="AD128" s="17"/>
      <c r="AE128" s="17"/>
      <c r="AF128" s="17"/>
    </row>
    <row r="129" spans="1:32" ht="16.5" customHeight="1">
      <c r="B129" s="2004" t="s">
        <v>11</v>
      </c>
      <c r="C129" s="204" t="s">
        <v>51</v>
      </c>
      <c r="D129" s="292">
        <v>10.5</v>
      </c>
      <c r="E129" s="293">
        <v>20.5</v>
      </c>
      <c r="F129" s="294">
        <v>1</v>
      </c>
      <c r="G129" s="292">
        <v>11.5</v>
      </c>
      <c r="H129" s="293">
        <v>20.5</v>
      </c>
      <c r="I129" s="294">
        <v>1</v>
      </c>
      <c r="J129" s="586"/>
      <c r="K129" s="570"/>
      <c r="L129" s="592"/>
      <c r="M129" s="1237">
        <v>10.5</v>
      </c>
      <c r="N129" s="1238">
        <v>20.5</v>
      </c>
      <c r="O129" s="1239">
        <v>1</v>
      </c>
      <c r="P129" s="586"/>
      <c r="Q129" s="570"/>
      <c r="R129" s="592"/>
      <c r="S129" s="292">
        <v>10.5</v>
      </c>
      <c r="T129" s="293">
        <v>20.5</v>
      </c>
      <c r="U129" s="294">
        <v>1</v>
      </c>
      <c r="V129" s="244">
        <v>10</v>
      </c>
      <c r="W129" s="237">
        <v>20</v>
      </c>
      <c r="X129" s="245">
        <v>1</v>
      </c>
      <c r="Y129" s="365">
        <f t="shared" ref="Y129:Y151" si="19">SUM(E129-D129-F129+H129-G129-I129+K129-J129-L129+N129-M129-O129+Q129-P129-R129+T129-S129-U129+W129-V129-X129)</f>
        <v>44</v>
      </c>
      <c r="Z129" s="1105"/>
      <c r="AA129" s="368"/>
      <c r="AB129" s="17"/>
      <c r="AC129" s="17"/>
      <c r="AD129" s="17"/>
      <c r="AE129" s="17"/>
      <c r="AF129" s="17"/>
    </row>
    <row r="130" spans="1:32" ht="16.5" customHeight="1">
      <c r="B130" s="2005"/>
      <c r="C130" s="1234" t="s">
        <v>14</v>
      </c>
      <c r="D130" s="1095"/>
      <c r="E130" s="1096"/>
      <c r="F130" s="1097"/>
      <c r="G130" s="1095"/>
      <c r="H130" s="1096"/>
      <c r="I130" s="1097"/>
      <c r="J130" s="1095"/>
      <c r="K130" s="1096"/>
      <c r="L130" s="1097"/>
      <c r="M130" s="1095"/>
      <c r="N130" s="1096"/>
      <c r="O130" s="1097"/>
      <c r="P130" s="1095"/>
      <c r="Q130" s="1096"/>
      <c r="R130" s="1097"/>
      <c r="S130" s="1095"/>
      <c r="T130" s="1096"/>
      <c r="U130" s="1097"/>
      <c r="V130" s="1098"/>
      <c r="W130" s="1099"/>
      <c r="X130" s="1100"/>
      <c r="Y130" s="364">
        <f t="shared" si="19"/>
        <v>0</v>
      </c>
      <c r="Z130" s="1109"/>
      <c r="AA130" s="14"/>
      <c r="AB130" s="17"/>
      <c r="AC130" s="17"/>
      <c r="AD130" s="17"/>
      <c r="AE130" s="17"/>
      <c r="AF130" s="17"/>
    </row>
    <row r="131" spans="1:32" ht="16.5" customHeight="1">
      <c r="B131" s="1233"/>
      <c r="C131" s="1235" t="s">
        <v>228</v>
      </c>
      <c r="D131" s="961">
        <v>7</v>
      </c>
      <c r="E131" s="962">
        <v>17</v>
      </c>
      <c r="F131" s="963">
        <v>1</v>
      </c>
      <c r="G131" s="961">
        <v>11.5</v>
      </c>
      <c r="H131" s="962">
        <v>20.5</v>
      </c>
      <c r="I131" s="963">
        <v>1</v>
      </c>
      <c r="J131" s="965"/>
      <c r="K131" s="966"/>
      <c r="L131" s="967"/>
      <c r="M131" s="1240">
        <v>10.5</v>
      </c>
      <c r="N131" s="1241">
        <v>20.5</v>
      </c>
      <c r="O131" s="1242">
        <v>1</v>
      </c>
      <c r="P131" s="965"/>
      <c r="Q131" s="966"/>
      <c r="R131" s="967"/>
      <c r="S131" s="961">
        <v>8</v>
      </c>
      <c r="T131" s="962">
        <v>18</v>
      </c>
      <c r="U131" s="963">
        <v>1</v>
      </c>
      <c r="V131" s="409">
        <v>10</v>
      </c>
      <c r="W131" s="410">
        <v>20</v>
      </c>
      <c r="X131" s="420">
        <v>1</v>
      </c>
      <c r="Y131" s="364">
        <f t="shared" si="19"/>
        <v>44</v>
      </c>
      <c r="Z131" s="1232"/>
      <c r="AA131" s="964"/>
      <c r="AB131" s="17"/>
      <c r="AC131" s="17"/>
      <c r="AD131" s="17"/>
      <c r="AE131" s="17"/>
      <c r="AF131" s="17"/>
    </row>
    <row r="132" spans="1:32" ht="16.5" customHeight="1">
      <c r="B132" s="1952" t="s">
        <v>52</v>
      </c>
      <c r="C132" s="1236" t="s">
        <v>28</v>
      </c>
      <c r="D132" s="1085"/>
      <c r="E132" s="325"/>
      <c r="F132" s="870"/>
      <c r="G132" s="1091">
        <v>10.5</v>
      </c>
      <c r="H132" s="1092">
        <v>20.5</v>
      </c>
      <c r="I132" s="1094">
        <v>1</v>
      </c>
      <c r="J132" s="1208">
        <v>7</v>
      </c>
      <c r="K132" s="1206">
        <v>16</v>
      </c>
      <c r="L132" s="1207">
        <v>1</v>
      </c>
      <c r="M132" s="1085"/>
      <c r="N132" s="325"/>
      <c r="O132" s="870"/>
      <c r="P132" s="1091">
        <v>10.5</v>
      </c>
      <c r="Q132" s="1092">
        <v>20.5</v>
      </c>
      <c r="R132" s="1094">
        <v>1</v>
      </c>
      <c r="S132" s="1091">
        <v>10.5</v>
      </c>
      <c r="T132" s="1092">
        <v>20.5</v>
      </c>
      <c r="U132" s="1094">
        <v>1</v>
      </c>
      <c r="V132" s="70">
        <v>10</v>
      </c>
      <c r="W132" s="71">
        <v>20</v>
      </c>
      <c r="X132" s="72">
        <v>1</v>
      </c>
      <c r="Y132" s="822">
        <f t="shared" si="19"/>
        <v>44</v>
      </c>
      <c r="Z132" s="1108"/>
      <c r="AA132" s="5"/>
      <c r="AB132" s="17"/>
      <c r="AC132" s="17"/>
      <c r="AD132" s="17"/>
      <c r="AE132" s="17"/>
      <c r="AF132" s="17"/>
    </row>
    <row r="133" spans="1:32" ht="16.5" customHeight="1">
      <c r="B133" s="2006"/>
      <c r="C133" s="930" t="s">
        <v>21</v>
      </c>
      <c r="D133" s="635">
        <v>6</v>
      </c>
      <c r="E133" s="636">
        <v>16</v>
      </c>
      <c r="F133" s="651">
        <v>1</v>
      </c>
      <c r="G133" s="424"/>
      <c r="H133" s="198"/>
      <c r="I133" s="431"/>
      <c r="J133" s="186">
        <v>10.5</v>
      </c>
      <c r="K133" s="187">
        <v>20.5</v>
      </c>
      <c r="L133" s="188">
        <v>1</v>
      </c>
      <c r="M133" s="424"/>
      <c r="N133" s="198"/>
      <c r="O133" s="431"/>
      <c r="P133" s="186">
        <v>11.5</v>
      </c>
      <c r="Q133" s="187">
        <v>20.5</v>
      </c>
      <c r="R133" s="188">
        <v>1</v>
      </c>
      <c r="S133" s="186">
        <v>10.5</v>
      </c>
      <c r="T133" s="187">
        <v>20.5</v>
      </c>
      <c r="U133" s="188">
        <v>1</v>
      </c>
      <c r="V133" s="79">
        <v>10</v>
      </c>
      <c r="W133" s="80">
        <v>20</v>
      </c>
      <c r="X133" s="81">
        <v>1</v>
      </c>
      <c r="Y133" s="457">
        <f t="shared" si="19"/>
        <v>44</v>
      </c>
      <c r="Z133" s="1106"/>
      <c r="AA133" s="6"/>
      <c r="AB133" s="17"/>
      <c r="AC133" s="17"/>
      <c r="AD133" s="17"/>
      <c r="AE133" s="17"/>
      <c r="AF133" s="17"/>
    </row>
    <row r="134" spans="1:32" ht="16.5" customHeight="1">
      <c r="B134" s="1953"/>
      <c r="C134" s="931" t="s">
        <v>53</v>
      </c>
      <c r="D134" s="1044">
        <v>11</v>
      </c>
      <c r="E134" s="1045">
        <v>21</v>
      </c>
      <c r="F134" s="1046">
        <v>1</v>
      </c>
      <c r="G134" s="936"/>
      <c r="H134" s="937"/>
      <c r="I134" s="938"/>
      <c r="J134" s="407">
        <v>10.5</v>
      </c>
      <c r="K134" s="196">
        <v>20.5</v>
      </c>
      <c r="L134" s="408">
        <v>1</v>
      </c>
      <c r="M134" s="606">
        <v>11.5</v>
      </c>
      <c r="N134" s="607">
        <v>20.5</v>
      </c>
      <c r="O134" s="905">
        <v>1</v>
      </c>
      <c r="P134" s="847">
        <v>7</v>
      </c>
      <c r="Q134" s="848">
        <v>17</v>
      </c>
      <c r="R134" s="1016">
        <v>1</v>
      </c>
      <c r="S134" s="847">
        <v>7</v>
      </c>
      <c r="T134" s="848">
        <v>17</v>
      </c>
      <c r="U134" s="1016">
        <v>1</v>
      </c>
      <c r="V134" s="435"/>
      <c r="W134" s="436"/>
      <c r="X134" s="1134"/>
      <c r="Y134" s="458">
        <f t="shared" si="19"/>
        <v>44</v>
      </c>
      <c r="Z134" s="1109"/>
      <c r="AA134" s="14"/>
      <c r="AB134" s="17"/>
      <c r="AC134" s="17"/>
      <c r="AD134" s="17"/>
      <c r="AE134" s="17"/>
      <c r="AF134" s="17"/>
    </row>
    <row r="135" spans="1:32" ht="16.5" customHeight="1">
      <c r="B135" s="1831" t="s">
        <v>171</v>
      </c>
      <c r="C135" s="956" t="s">
        <v>25</v>
      </c>
      <c r="D135" s="1243">
        <v>11</v>
      </c>
      <c r="E135" s="1244">
        <v>21</v>
      </c>
      <c r="F135" s="1245">
        <v>1</v>
      </c>
      <c r="G135" s="1205">
        <v>7</v>
      </c>
      <c r="H135" s="1206">
        <v>17</v>
      </c>
      <c r="I135" s="1207">
        <v>1</v>
      </c>
      <c r="J135" s="586"/>
      <c r="K135" s="570"/>
      <c r="L135" s="890"/>
      <c r="M135" s="1204">
        <v>11.5</v>
      </c>
      <c r="N135" s="1092">
        <v>20.5</v>
      </c>
      <c r="O135" s="1094">
        <v>1</v>
      </c>
      <c r="P135" s="1091">
        <v>10.5</v>
      </c>
      <c r="Q135" s="1092">
        <v>20.5</v>
      </c>
      <c r="R135" s="1093">
        <v>1</v>
      </c>
      <c r="S135" s="1205">
        <v>7</v>
      </c>
      <c r="T135" s="1206">
        <v>17</v>
      </c>
      <c r="U135" s="1207">
        <v>1</v>
      </c>
      <c r="V135" s="168"/>
      <c r="W135" s="169"/>
      <c r="X135" s="315"/>
      <c r="Y135" s="2">
        <f t="shared" si="19"/>
        <v>44</v>
      </c>
      <c r="Z135" s="1123"/>
      <c r="AA135" s="368"/>
      <c r="AB135" s="17"/>
      <c r="AC135" s="17"/>
      <c r="AD135" s="17"/>
      <c r="AE135" s="17"/>
      <c r="AF135" s="17"/>
    </row>
    <row r="136" spans="1:32" ht="16.5" customHeight="1">
      <c r="B136" s="1831"/>
      <c r="C136" s="957" t="s">
        <v>27</v>
      </c>
      <c r="D136" s="997">
        <v>6</v>
      </c>
      <c r="E136" s="636">
        <v>16</v>
      </c>
      <c r="F136" s="637">
        <v>1</v>
      </c>
      <c r="G136" s="1122"/>
      <c r="H136" s="1102"/>
      <c r="I136" s="1103"/>
      <c r="J136" s="186">
        <v>11.5</v>
      </c>
      <c r="K136" s="187">
        <v>20.5</v>
      </c>
      <c r="L136" s="192">
        <v>1</v>
      </c>
      <c r="M136" s="425"/>
      <c r="N136" s="198"/>
      <c r="O136" s="431"/>
      <c r="P136" s="373">
        <v>10.5</v>
      </c>
      <c r="Q136" s="374">
        <v>20.5</v>
      </c>
      <c r="R136" s="1009">
        <v>1</v>
      </c>
      <c r="S136" s="191">
        <v>10.5</v>
      </c>
      <c r="T136" s="187">
        <v>20.5</v>
      </c>
      <c r="U136" s="188">
        <v>1</v>
      </c>
      <c r="V136" s="79">
        <v>10</v>
      </c>
      <c r="W136" s="80">
        <v>20</v>
      </c>
      <c r="X136" s="247">
        <v>1</v>
      </c>
      <c r="Y136" s="297">
        <f t="shared" si="19"/>
        <v>44</v>
      </c>
      <c r="Z136" s="1124"/>
      <c r="AA136" s="6"/>
      <c r="AB136" s="17"/>
      <c r="AC136" s="17"/>
      <c r="AD136" s="17"/>
      <c r="AE136" s="17"/>
      <c r="AF136" s="17"/>
    </row>
    <row r="137" spans="1:32" ht="16.5" customHeight="1">
      <c r="B137" s="1831"/>
      <c r="C137" s="957" t="s">
        <v>31</v>
      </c>
      <c r="D137" s="191">
        <v>10.5</v>
      </c>
      <c r="E137" s="187">
        <v>20.5</v>
      </c>
      <c r="F137" s="192">
        <v>1</v>
      </c>
      <c r="G137" s="191">
        <v>10.5</v>
      </c>
      <c r="H137" s="187">
        <v>20.5</v>
      </c>
      <c r="I137" s="188">
        <v>1</v>
      </c>
      <c r="J137" s="424"/>
      <c r="K137" s="198"/>
      <c r="L137" s="426"/>
      <c r="M137" s="191">
        <v>10.5</v>
      </c>
      <c r="N137" s="187">
        <v>20.5</v>
      </c>
      <c r="O137" s="188">
        <v>1</v>
      </c>
      <c r="P137" s="186">
        <v>11.5</v>
      </c>
      <c r="Q137" s="187">
        <v>20.5</v>
      </c>
      <c r="R137" s="192">
        <v>1</v>
      </c>
      <c r="S137" s="997">
        <v>7</v>
      </c>
      <c r="T137" s="636">
        <v>17</v>
      </c>
      <c r="U137" s="651">
        <v>1</v>
      </c>
      <c r="V137" s="173"/>
      <c r="W137" s="174"/>
      <c r="X137" s="360"/>
      <c r="Y137" s="297">
        <f t="shared" si="19"/>
        <v>44</v>
      </c>
      <c r="Z137" s="1124"/>
      <c r="AA137" s="6"/>
      <c r="AB137" s="17"/>
      <c r="AC137" s="30"/>
      <c r="AD137" s="17"/>
      <c r="AE137" s="17"/>
      <c r="AF137" s="17"/>
    </row>
    <row r="138" spans="1:32" ht="16.5" customHeight="1">
      <c r="B138" s="1831"/>
      <c r="C138" s="957" t="s">
        <v>55</v>
      </c>
      <c r="D138" s="425"/>
      <c r="E138" s="198"/>
      <c r="F138" s="426"/>
      <c r="G138" s="425"/>
      <c r="H138" s="198"/>
      <c r="I138" s="431"/>
      <c r="J138" s="186">
        <v>11.5</v>
      </c>
      <c r="K138" s="187">
        <v>20.5</v>
      </c>
      <c r="L138" s="192">
        <v>1</v>
      </c>
      <c r="M138" s="191">
        <v>10.5</v>
      </c>
      <c r="N138" s="187">
        <v>20.5</v>
      </c>
      <c r="O138" s="188">
        <v>1</v>
      </c>
      <c r="P138" s="186">
        <v>10.5</v>
      </c>
      <c r="Q138" s="187">
        <v>20.5</v>
      </c>
      <c r="R138" s="192">
        <v>1</v>
      </c>
      <c r="S138" s="191">
        <v>10.5</v>
      </c>
      <c r="T138" s="187">
        <v>20.5</v>
      </c>
      <c r="U138" s="188">
        <v>1</v>
      </c>
      <c r="V138" s="79">
        <v>10</v>
      </c>
      <c r="W138" s="80">
        <v>20</v>
      </c>
      <c r="X138" s="247">
        <v>1</v>
      </c>
      <c r="Y138" s="297">
        <f t="shared" si="19"/>
        <v>44</v>
      </c>
      <c r="Z138" s="1124"/>
      <c r="AA138" s="6"/>
      <c r="AB138" s="17"/>
      <c r="AC138" s="17"/>
      <c r="AD138" s="17"/>
      <c r="AE138" s="17"/>
      <c r="AF138" s="17"/>
    </row>
    <row r="139" spans="1:32" ht="16.5" customHeight="1">
      <c r="B139" s="1831"/>
      <c r="C139" s="957" t="s">
        <v>172</v>
      </c>
      <c r="D139" s="425"/>
      <c r="E139" s="198"/>
      <c r="F139" s="426"/>
      <c r="G139" s="191">
        <v>11.5</v>
      </c>
      <c r="H139" s="187">
        <v>20.5</v>
      </c>
      <c r="I139" s="188">
        <v>1</v>
      </c>
      <c r="J139" s="424"/>
      <c r="K139" s="198"/>
      <c r="L139" s="426"/>
      <c r="M139" s="646">
        <v>10</v>
      </c>
      <c r="N139" s="626">
        <v>20</v>
      </c>
      <c r="O139" s="647">
        <v>1</v>
      </c>
      <c r="P139" s="186">
        <v>10.5</v>
      </c>
      <c r="Q139" s="187">
        <v>20.5</v>
      </c>
      <c r="R139" s="192">
        <v>1</v>
      </c>
      <c r="S139" s="191">
        <v>10.5</v>
      </c>
      <c r="T139" s="187">
        <v>20.5</v>
      </c>
      <c r="U139" s="188">
        <v>1</v>
      </c>
      <c r="V139" s="79">
        <v>8</v>
      </c>
      <c r="W139" s="80">
        <v>18</v>
      </c>
      <c r="X139" s="247">
        <v>1</v>
      </c>
      <c r="Y139" s="297">
        <f t="shared" si="19"/>
        <v>44</v>
      </c>
      <c r="Z139" s="1124"/>
      <c r="AA139" s="6"/>
      <c r="AB139" s="17"/>
      <c r="AC139" s="17"/>
      <c r="AD139" s="17"/>
      <c r="AE139" s="17"/>
      <c r="AF139" s="17"/>
    </row>
    <row r="140" spans="1:32" ht="16.5" customHeight="1">
      <c r="B140" s="1831"/>
      <c r="C140" s="957" t="s">
        <v>87</v>
      </c>
      <c r="D140" s="425"/>
      <c r="E140" s="198"/>
      <c r="F140" s="426"/>
      <c r="G140" s="191">
        <v>10.5</v>
      </c>
      <c r="H140" s="187">
        <v>20.5</v>
      </c>
      <c r="I140" s="192">
        <v>1</v>
      </c>
      <c r="J140" s="635">
        <v>7</v>
      </c>
      <c r="K140" s="636">
        <v>17</v>
      </c>
      <c r="L140" s="637">
        <v>1</v>
      </c>
      <c r="M140" s="191">
        <v>11.5</v>
      </c>
      <c r="N140" s="187">
        <v>20.5</v>
      </c>
      <c r="O140" s="188">
        <v>1</v>
      </c>
      <c r="P140" s="373">
        <v>10.5</v>
      </c>
      <c r="Q140" s="374">
        <v>20.5</v>
      </c>
      <c r="R140" s="1009">
        <v>1</v>
      </c>
      <c r="S140" s="997">
        <v>7</v>
      </c>
      <c r="T140" s="636">
        <v>17</v>
      </c>
      <c r="U140" s="651">
        <v>1</v>
      </c>
      <c r="V140" s="173"/>
      <c r="W140" s="174"/>
      <c r="X140" s="360"/>
      <c r="Y140" s="297">
        <f t="shared" si="19"/>
        <v>44</v>
      </c>
      <c r="Z140" s="1124"/>
      <c r="AA140" s="6"/>
      <c r="AB140" s="17"/>
      <c r="AC140" s="17"/>
      <c r="AD140" s="17"/>
      <c r="AE140" s="17"/>
      <c r="AF140" s="17"/>
    </row>
    <row r="141" spans="1:32" ht="16.5" customHeight="1">
      <c r="B141" s="1831"/>
      <c r="C141" s="957" t="s">
        <v>104</v>
      </c>
      <c r="D141" s="425"/>
      <c r="E141" s="198"/>
      <c r="F141" s="426"/>
      <c r="G141" s="997">
        <v>7</v>
      </c>
      <c r="H141" s="636">
        <v>17</v>
      </c>
      <c r="I141" s="651">
        <v>1</v>
      </c>
      <c r="J141" s="186">
        <v>11.5</v>
      </c>
      <c r="K141" s="187">
        <v>20.5</v>
      </c>
      <c r="L141" s="192">
        <v>1</v>
      </c>
      <c r="M141" s="191">
        <v>10.5</v>
      </c>
      <c r="N141" s="187">
        <v>20.5</v>
      </c>
      <c r="O141" s="188">
        <v>1</v>
      </c>
      <c r="P141" s="186">
        <v>10.5</v>
      </c>
      <c r="Q141" s="187">
        <v>20.5</v>
      </c>
      <c r="R141" s="192">
        <v>1</v>
      </c>
      <c r="S141" s="191">
        <v>10.5</v>
      </c>
      <c r="T141" s="187">
        <v>20.5</v>
      </c>
      <c r="U141" s="188">
        <v>1</v>
      </c>
      <c r="V141" s="173"/>
      <c r="W141" s="174"/>
      <c r="X141" s="360"/>
      <c r="Y141" s="297">
        <f t="shared" si="19"/>
        <v>44</v>
      </c>
      <c r="Z141" s="1124"/>
      <c r="AA141" s="6"/>
      <c r="AB141" s="17"/>
      <c r="AC141" s="17"/>
      <c r="AD141" s="17"/>
      <c r="AE141" s="17"/>
      <c r="AF141" s="17"/>
    </row>
    <row r="142" spans="1:32" ht="16.5" customHeight="1">
      <c r="A142" s="50"/>
      <c r="B142" s="1110"/>
      <c r="C142" s="958" t="s">
        <v>187</v>
      </c>
      <c r="D142" s="1078">
        <v>11.5</v>
      </c>
      <c r="E142" s="607">
        <v>20.5</v>
      </c>
      <c r="F142" s="608">
        <v>1</v>
      </c>
      <c r="G142" s="945"/>
      <c r="H142" s="937"/>
      <c r="I142" s="938"/>
      <c r="J142" s="606">
        <v>10.5</v>
      </c>
      <c r="K142" s="607">
        <v>20.5</v>
      </c>
      <c r="L142" s="608">
        <v>1</v>
      </c>
      <c r="M142" s="1015">
        <v>7</v>
      </c>
      <c r="N142" s="848">
        <v>17</v>
      </c>
      <c r="O142" s="1016">
        <v>1</v>
      </c>
      <c r="P142" s="936"/>
      <c r="Q142" s="937"/>
      <c r="R142" s="1120"/>
      <c r="S142" s="1078">
        <v>10.5</v>
      </c>
      <c r="T142" s="607">
        <v>20.5</v>
      </c>
      <c r="U142" s="905">
        <v>1</v>
      </c>
      <c r="V142" s="330">
        <v>8</v>
      </c>
      <c r="W142" s="331">
        <v>18</v>
      </c>
      <c r="X142" s="332">
        <v>1</v>
      </c>
      <c r="Y142" s="298">
        <f t="shared" si="19"/>
        <v>44</v>
      </c>
      <c r="Z142" s="1125"/>
      <c r="AA142" s="369"/>
      <c r="AB142" s="17"/>
      <c r="AC142" s="17"/>
      <c r="AD142" s="17"/>
      <c r="AE142" s="17"/>
      <c r="AF142" s="17"/>
    </row>
    <row r="143" spans="1:32" ht="16.5" customHeight="1">
      <c r="A143" s="2069" t="s">
        <v>229</v>
      </c>
      <c r="B143" s="2097" t="s">
        <v>116</v>
      </c>
      <c r="C143" s="1111" t="s">
        <v>32</v>
      </c>
      <c r="D143" s="1129">
        <v>6</v>
      </c>
      <c r="E143" s="1130">
        <v>12</v>
      </c>
      <c r="F143" s="1181"/>
      <c r="G143" s="65">
        <v>16.5</v>
      </c>
      <c r="H143" s="66">
        <v>20.5</v>
      </c>
      <c r="I143" s="67"/>
      <c r="J143" s="1091">
        <v>16.5</v>
      </c>
      <c r="K143" s="1092">
        <v>20.5</v>
      </c>
      <c r="L143" s="1094"/>
      <c r="M143" s="356"/>
      <c r="N143" s="323"/>
      <c r="O143" s="359"/>
      <c r="P143" s="729">
        <v>7</v>
      </c>
      <c r="Q143" s="663">
        <v>12</v>
      </c>
      <c r="R143" s="691"/>
      <c r="S143" s="65">
        <v>14.5</v>
      </c>
      <c r="T143" s="66">
        <v>20.5</v>
      </c>
      <c r="U143" s="67">
        <v>1</v>
      </c>
      <c r="V143" s="70">
        <v>11</v>
      </c>
      <c r="W143" s="71">
        <v>20</v>
      </c>
      <c r="X143" s="151">
        <v>1</v>
      </c>
      <c r="Y143" s="361">
        <f t="shared" si="19"/>
        <v>32</v>
      </c>
      <c r="Z143" s="1108"/>
      <c r="AA143" s="5"/>
      <c r="AB143" s="17"/>
      <c r="AC143" s="17"/>
      <c r="AD143" s="17"/>
      <c r="AE143" s="17"/>
      <c r="AF143" s="17"/>
    </row>
    <row r="144" spans="1:32" ht="16.5" customHeight="1">
      <c r="A144" s="2070"/>
      <c r="B144" s="2098"/>
      <c r="C144" s="695" t="s">
        <v>114</v>
      </c>
      <c r="D144" s="316">
        <v>7</v>
      </c>
      <c r="E144" s="317">
        <v>15</v>
      </c>
      <c r="F144" s="318">
        <v>1</v>
      </c>
      <c r="G144" s="262"/>
      <c r="H144" s="171"/>
      <c r="I144" s="172"/>
      <c r="J144" s="186">
        <v>14.5</v>
      </c>
      <c r="K144" s="187">
        <v>20.5</v>
      </c>
      <c r="L144" s="188"/>
      <c r="M144" s="316">
        <v>7</v>
      </c>
      <c r="N144" s="317">
        <v>15</v>
      </c>
      <c r="O144" s="318">
        <v>1</v>
      </c>
      <c r="P144" s="262"/>
      <c r="Q144" s="171"/>
      <c r="R144" s="172"/>
      <c r="S144" s="76">
        <v>11.5</v>
      </c>
      <c r="T144" s="77">
        <v>20.5</v>
      </c>
      <c r="U144" s="78">
        <v>1</v>
      </c>
      <c r="V144" s="79">
        <v>12</v>
      </c>
      <c r="W144" s="80">
        <v>20</v>
      </c>
      <c r="X144" s="247">
        <v>1</v>
      </c>
      <c r="Y144" s="1106">
        <f t="shared" si="19"/>
        <v>35</v>
      </c>
      <c r="Z144" s="1106"/>
      <c r="AA144" s="6"/>
      <c r="AB144" s="17"/>
      <c r="AC144" s="17"/>
      <c r="AD144" s="17"/>
      <c r="AE144" s="17"/>
      <c r="AF144" s="17"/>
    </row>
    <row r="145" spans="1:32" ht="16.5" customHeight="1">
      <c r="A145" s="2070"/>
      <c r="B145" s="2098"/>
      <c r="C145" s="695" t="s">
        <v>89</v>
      </c>
      <c r="D145" s="73">
        <v>12.5</v>
      </c>
      <c r="E145" s="74">
        <v>20.5</v>
      </c>
      <c r="F145" s="75">
        <v>1</v>
      </c>
      <c r="G145" s="76">
        <v>13.5</v>
      </c>
      <c r="H145" s="77">
        <v>20.5</v>
      </c>
      <c r="I145" s="78">
        <v>1</v>
      </c>
      <c r="J145" s="424"/>
      <c r="K145" s="198"/>
      <c r="L145" s="431"/>
      <c r="M145" s="225"/>
      <c r="N145" s="226"/>
      <c r="O145" s="248"/>
      <c r="P145" s="749">
        <v>13.5</v>
      </c>
      <c r="Q145" s="750">
        <v>20.5</v>
      </c>
      <c r="R145" s="751">
        <v>1</v>
      </c>
      <c r="S145" s="76">
        <v>12.5</v>
      </c>
      <c r="T145" s="77">
        <v>20.5</v>
      </c>
      <c r="U145" s="78">
        <v>1</v>
      </c>
      <c r="V145" s="79">
        <v>11</v>
      </c>
      <c r="W145" s="80">
        <v>20</v>
      </c>
      <c r="X145" s="247">
        <v>1</v>
      </c>
      <c r="Y145" s="1106">
        <f t="shared" si="19"/>
        <v>34</v>
      </c>
      <c r="Z145" s="1106"/>
      <c r="AA145" s="6"/>
      <c r="AB145" s="17"/>
      <c r="AC145" s="17"/>
      <c r="AD145" s="17"/>
      <c r="AE145" s="17"/>
      <c r="AF145" s="17"/>
    </row>
    <row r="146" spans="1:32" ht="16.5" customHeight="1">
      <c r="A146" s="2070"/>
      <c r="B146" s="2098"/>
      <c r="C146" s="695" t="s">
        <v>38</v>
      </c>
      <c r="D146" s="73">
        <v>16.5</v>
      </c>
      <c r="E146" s="74">
        <v>20.5</v>
      </c>
      <c r="F146" s="75"/>
      <c r="G146" s="76">
        <v>15.5</v>
      </c>
      <c r="H146" s="77">
        <v>20.5</v>
      </c>
      <c r="I146" s="78"/>
      <c r="J146" s="635">
        <v>7</v>
      </c>
      <c r="K146" s="636">
        <v>15</v>
      </c>
      <c r="L146" s="651">
        <v>1</v>
      </c>
      <c r="M146" s="225"/>
      <c r="N146" s="226"/>
      <c r="O146" s="248"/>
      <c r="P146" s="262"/>
      <c r="Q146" s="171"/>
      <c r="R146" s="172"/>
      <c r="S146" s="76">
        <v>12.5</v>
      </c>
      <c r="T146" s="77">
        <v>20.5</v>
      </c>
      <c r="U146" s="78">
        <v>1</v>
      </c>
      <c r="V146" s="79">
        <v>12</v>
      </c>
      <c r="W146" s="80">
        <v>20</v>
      </c>
      <c r="X146" s="247">
        <v>1</v>
      </c>
      <c r="Y146" s="1106">
        <f t="shared" si="19"/>
        <v>30</v>
      </c>
      <c r="Z146" s="1106"/>
      <c r="AA146" s="6"/>
      <c r="AB146" s="50"/>
    </row>
    <row r="147" spans="1:32" ht="16.5" customHeight="1">
      <c r="A147" s="2070"/>
      <c r="B147" s="2098"/>
      <c r="C147" s="695" t="s">
        <v>188</v>
      </c>
      <c r="D147" s="225"/>
      <c r="E147" s="226"/>
      <c r="F147" s="248"/>
      <c r="G147" s="225"/>
      <c r="H147" s="226"/>
      <c r="I147" s="248"/>
      <c r="J147" s="186">
        <v>15.5</v>
      </c>
      <c r="K147" s="187">
        <v>20.5</v>
      </c>
      <c r="L147" s="188"/>
      <c r="M147" s="73">
        <v>13.5</v>
      </c>
      <c r="N147" s="74">
        <v>20.5</v>
      </c>
      <c r="O147" s="75">
        <v>1</v>
      </c>
      <c r="P147" s="316">
        <v>7</v>
      </c>
      <c r="Q147" s="317">
        <v>13</v>
      </c>
      <c r="R147" s="318"/>
      <c r="S147" s="316">
        <v>7</v>
      </c>
      <c r="T147" s="317">
        <v>17</v>
      </c>
      <c r="U147" s="318">
        <v>1</v>
      </c>
      <c r="V147" s="79">
        <v>12</v>
      </c>
      <c r="W147" s="80">
        <v>20</v>
      </c>
      <c r="X147" s="247">
        <v>1</v>
      </c>
      <c r="Y147" s="1106">
        <f t="shared" si="19"/>
        <v>33</v>
      </c>
      <c r="Z147" s="1106"/>
      <c r="AA147" s="6"/>
      <c r="AB147" s="50"/>
    </row>
    <row r="148" spans="1:32" ht="16.5" customHeight="1">
      <c r="A148" s="2070"/>
      <c r="B148" s="2098"/>
      <c r="C148" s="695" t="s">
        <v>36</v>
      </c>
      <c r="D148" s="73">
        <v>11.5</v>
      </c>
      <c r="E148" s="74">
        <v>20.5</v>
      </c>
      <c r="F148" s="75">
        <v>1</v>
      </c>
      <c r="G148" s="316">
        <v>7</v>
      </c>
      <c r="H148" s="317">
        <v>16</v>
      </c>
      <c r="I148" s="318">
        <v>1</v>
      </c>
      <c r="J148" s="424"/>
      <c r="K148" s="198"/>
      <c r="L148" s="431"/>
      <c r="M148" s="225"/>
      <c r="N148" s="226"/>
      <c r="O148" s="248"/>
      <c r="P148" s="746">
        <v>12.5</v>
      </c>
      <c r="Q148" s="747">
        <v>20.5</v>
      </c>
      <c r="R148" s="748">
        <v>1</v>
      </c>
      <c r="S148" s="73">
        <v>12.5</v>
      </c>
      <c r="T148" s="74">
        <v>20.5</v>
      </c>
      <c r="U148" s="75">
        <v>1</v>
      </c>
      <c r="V148" s="79">
        <v>11</v>
      </c>
      <c r="W148" s="80">
        <v>20</v>
      </c>
      <c r="X148" s="247">
        <v>1</v>
      </c>
      <c r="Y148" s="1106">
        <f t="shared" si="19"/>
        <v>38</v>
      </c>
      <c r="Z148" s="1106"/>
      <c r="AA148" s="6"/>
      <c r="AB148" s="50"/>
    </row>
    <row r="149" spans="1:32" ht="16.5" customHeight="1">
      <c r="A149" s="2070"/>
      <c r="B149" s="2098"/>
      <c r="C149" s="695" t="s">
        <v>169</v>
      </c>
      <c r="D149" s="316">
        <v>7</v>
      </c>
      <c r="E149" s="317">
        <v>15</v>
      </c>
      <c r="F149" s="318">
        <v>1</v>
      </c>
      <c r="G149" s="225"/>
      <c r="H149" s="226"/>
      <c r="I149" s="248"/>
      <c r="J149" s="186">
        <v>16.5</v>
      </c>
      <c r="K149" s="187">
        <v>20.5</v>
      </c>
      <c r="L149" s="188"/>
      <c r="M149" s="316">
        <v>7</v>
      </c>
      <c r="N149" s="317">
        <v>12</v>
      </c>
      <c r="O149" s="318"/>
      <c r="P149" s="225"/>
      <c r="Q149" s="226"/>
      <c r="R149" s="248"/>
      <c r="S149" s="73">
        <v>11.5</v>
      </c>
      <c r="T149" s="74">
        <v>20.5</v>
      </c>
      <c r="U149" s="75">
        <v>1</v>
      </c>
      <c r="V149" s="79">
        <v>12</v>
      </c>
      <c r="W149" s="80">
        <v>20</v>
      </c>
      <c r="X149" s="247">
        <v>1</v>
      </c>
      <c r="Y149" s="1106">
        <f t="shared" si="19"/>
        <v>31</v>
      </c>
      <c r="Z149" s="1106"/>
      <c r="AA149" s="6"/>
      <c r="AB149" s="50"/>
    </row>
    <row r="150" spans="1:32" ht="16.5" customHeight="1">
      <c r="A150" s="2071"/>
      <c r="B150" s="2099"/>
      <c r="C150" s="932" t="s">
        <v>117</v>
      </c>
      <c r="D150" s="407">
        <v>11.5</v>
      </c>
      <c r="E150" s="196">
        <v>20.5</v>
      </c>
      <c r="F150" s="408">
        <v>1</v>
      </c>
      <c r="G150" s="193"/>
      <c r="H150" s="194"/>
      <c r="I150" s="195"/>
      <c r="J150" s="193"/>
      <c r="K150" s="194"/>
      <c r="L150" s="195"/>
      <c r="M150" s="193"/>
      <c r="N150" s="194"/>
      <c r="O150" s="195"/>
      <c r="P150" s="193"/>
      <c r="Q150" s="194"/>
      <c r="R150" s="195"/>
      <c r="S150" s="407">
        <v>12.5</v>
      </c>
      <c r="T150" s="196">
        <v>20.5</v>
      </c>
      <c r="U150" s="408">
        <v>1</v>
      </c>
      <c r="V150" s="91">
        <v>8</v>
      </c>
      <c r="W150" s="92">
        <v>17</v>
      </c>
      <c r="X150" s="118">
        <v>1</v>
      </c>
      <c r="Y150" s="1109">
        <f t="shared" si="19"/>
        <v>23</v>
      </c>
      <c r="Z150" s="1107"/>
      <c r="AA150" s="369"/>
      <c r="AB150" s="50"/>
    </row>
    <row r="151" spans="1:32" ht="16.5" customHeight="1">
      <c r="A151" s="50"/>
      <c r="B151" s="1218"/>
      <c r="C151" s="1246" t="s">
        <v>214</v>
      </c>
      <c r="D151" s="570"/>
      <c r="E151" s="570"/>
      <c r="F151" s="570"/>
      <c r="G151" s="293">
        <v>16.5</v>
      </c>
      <c r="H151" s="293">
        <v>20.5</v>
      </c>
      <c r="I151" s="293"/>
      <c r="J151" s="570"/>
      <c r="K151" s="570"/>
      <c r="L151" s="570"/>
      <c r="M151" s="1250">
        <v>7</v>
      </c>
      <c r="N151" s="1250">
        <v>15</v>
      </c>
      <c r="O151" s="1250">
        <v>1</v>
      </c>
      <c r="P151" s="293">
        <v>16.5</v>
      </c>
      <c r="Q151" s="293">
        <v>20.5</v>
      </c>
      <c r="R151" s="293"/>
      <c r="S151" s="293">
        <v>14.5</v>
      </c>
      <c r="T151" s="293">
        <v>20.5</v>
      </c>
      <c r="U151" s="293">
        <v>1</v>
      </c>
      <c r="V151" s="1247">
        <v>12</v>
      </c>
      <c r="W151" s="410">
        <v>20</v>
      </c>
      <c r="X151" s="984">
        <v>1</v>
      </c>
      <c r="Y151" s="439">
        <f t="shared" si="19"/>
        <v>27</v>
      </c>
      <c r="Z151" s="500"/>
      <c r="AA151" s="369"/>
      <c r="AB151" s="50"/>
    </row>
    <row r="152" spans="1:32" ht="16.5" customHeight="1">
      <c r="A152" s="50"/>
      <c r="B152" s="1218"/>
      <c r="C152" s="1248" t="s">
        <v>191</v>
      </c>
      <c r="D152" s="937"/>
      <c r="E152" s="937"/>
      <c r="F152" s="937"/>
      <c r="G152" s="1249">
        <v>13.5</v>
      </c>
      <c r="H152" s="1249">
        <v>20.5</v>
      </c>
      <c r="I152" s="1249">
        <v>1</v>
      </c>
      <c r="J152" s="848">
        <v>7</v>
      </c>
      <c r="K152" s="848">
        <v>15</v>
      </c>
      <c r="L152" s="848">
        <v>1</v>
      </c>
      <c r="M152" s="1249">
        <v>13.5</v>
      </c>
      <c r="N152" s="1249">
        <v>20.5</v>
      </c>
      <c r="O152" s="1249">
        <v>1</v>
      </c>
      <c r="P152" s="937"/>
      <c r="Q152" s="937"/>
      <c r="R152" s="937"/>
      <c r="S152" s="607">
        <v>11.5</v>
      </c>
      <c r="T152" s="607">
        <v>20.5</v>
      </c>
      <c r="U152" s="607">
        <v>1</v>
      </c>
      <c r="V152" s="599">
        <v>12</v>
      </c>
      <c r="W152" s="331">
        <v>20</v>
      </c>
      <c r="X152" s="655">
        <v>1</v>
      </c>
      <c r="Y152" s="439">
        <f t="shared" ref="Y152" si="20">SUM(E152-D152-F152+H152-G152-I152+K152-J152-L152+N152-M152-O152+Q152-P152-R152+T152-S152-U152+W152-V152-X152)</f>
        <v>34</v>
      </c>
      <c r="Z152" s="23"/>
      <c r="AA152" s="17"/>
      <c r="AB152" s="50"/>
    </row>
    <row r="153" spans="1:32">
      <c r="B153" s="32"/>
      <c r="C153" s="295"/>
      <c r="D153" s="1828">
        <f>COUNT(D128:D150)</f>
        <v>15</v>
      </c>
      <c r="E153" s="1829"/>
      <c r="F153" s="1829"/>
      <c r="G153" s="1828">
        <f t="shared" ref="G153" si="21">COUNT(G128:G150)</f>
        <v>12</v>
      </c>
      <c r="H153" s="1829"/>
      <c r="I153" s="1829"/>
      <c r="J153" s="1828">
        <f t="shared" ref="J153" si="22">COUNT(J128:J150)</f>
        <v>13</v>
      </c>
      <c r="K153" s="1829"/>
      <c r="L153" s="1829"/>
      <c r="M153" s="1828">
        <f t="shared" ref="M153" si="23">COUNT(M128:M150)</f>
        <v>13</v>
      </c>
      <c r="N153" s="1829"/>
      <c r="O153" s="1829"/>
      <c r="P153" s="1828">
        <f t="shared" ref="P153" si="24">COUNT(P128:P150)</f>
        <v>14</v>
      </c>
      <c r="Q153" s="1829"/>
      <c r="R153" s="1833"/>
      <c r="S153" s="1829">
        <f t="shared" ref="S153" si="25">COUNT(S128:S150)</f>
        <v>21</v>
      </c>
      <c r="T153" s="1829"/>
      <c r="U153" s="1829"/>
      <c r="V153" s="1890">
        <f t="shared" ref="V153" si="26">COUNT(V128:V150)</f>
        <v>16</v>
      </c>
      <c r="W153" s="1891"/>
      <c r="X153" s="1892"/>
      <c r="Y153" s="23"/>
      <c r="Z153" s="23"/>
      <c r="AA153" s="17"/>
    </row>
    <row r="154" spans="1:32">
      <c r="P154" s="50"/>
      <c r="Q154" s="50"/>
      <c r="R154" s="50"/>
    </row>
    <row r="161" spans="8:11">
      <c r="I161" s="50"/>
      <c r="J161" s="50"/>
    </row>
    <row r="162" spans="8:11">
      <c r="H162" s="50"/>
      <c r="I162" s="1906"/>
      <c r="J162" s="1908"/>
      <c r="K162" s="50"/>
    </row>
    <row r="163" spans="8:11">
      <c r="I163" s="50"/>
      <c r="J163" s="50"/>
    </row>
  </sheetData>
  <mergeCells count="159">
    <mergeCell ref="B3:C4"/>
    <mergeCell ref="G3:I4"/>
    <mergeCell ref="J3:L4"/>
    <mergeCell ref="M3:O4"/>
    <mergeCell ref="P3:R4"/>
    <mergeCell ref="D3:F4"/>
    <mergeCell ref="S3:U4"/>
    <mergeCell ref="V3:X4"/>
    <mergeCell ref="D5:F5"/>
    <mergeCell ref="G5:I5"/>
    <mergeCell ref="J5:L5"/>
    <mergeCell ref="M5:O5"/>
    <mergeCell ref="P5:R5"/>
    <mergeCell ref="S5:U5"/>
    <mergeCell ref="V5:X5"/>
    <mergeCell ref="P29:R29"/>
    <mergeCell ref="S29:U29"/>
    <mergeCell ref="V29:X29"/>
    <mergeCell ref="D29:F29"/>
    <mergeCell ref="B10:B12"/>
    <mergeCell ref="B13:B20"/>
    <mergeCell ref="B21:B28"/>
    <mergeCell ref="AD7:AF7"/>
    <mergeCell ref="AD8:AF8"/>
    <mergeCell ref="AD9:AF9"/>
    <mergeCell ref="AD11:AF11"/>
    <mergeCell ref="B6:B7"/>
    <mergeCell ref="B8:B9"/>
    <mergeCell ref="M31:O32"/>
    <mergeCell ref="B33:C34"/>
    <mergeCell ref="D33:F34"/>
    <mergeCell ref="M33:O34"/>
    <mergeCell ref="G29:I29"/>
    <mergeCell ref="J29:L29"/>
    <mergeCell ref="M29:O29"/>
    <mergeCell ref="J33:L33"/>
    <mergeCell ref="J34:L34"/>
    <mergeCell ref="G33:I33"/>
    <mergeCell ref="G34:I34"/>
    <mergeCell ref="S33:U34"/>
    <mergeCell ref="V33:X34"/>
    <mergeCell ref="AC34:AD34"/>
    <mergeCell ref="D35:F35"/>
    <mergeCell ref="G35:I35"/>
    <mergeCell ref="J35:L35"/>
    <mergeCell ref="M35:O35"/>
    <mergeCell ref="P35:R35"/>
    <mergeCell ref="S35:U35"/>
    <mergeCell ref="P33:R33"/>
    <mergeCell ref="P34:R34"/>
    <mergeCell ref="G62:O62"/>
    <mergeCell ref="B63:C65"/>
    <mergeCell ref="V35:X35"/>
    <mergeCell ref="V60:X60"/>
    <mergeCell ref="D60:F60"/>
    <mergeCell ref="G60:I60"/>
    <mergeCell ref="J60:L60"/>
    <mergeCell ref="M60:O60"/>
    <mergeCell ref="P60:R60"/>
    <mergeCell ref="S60:U60"/>
    <mergeCell ref="B39:B40"/>
    <mergeCell ref="B41:B43"/>
    <mergeCell ref="B44:B50"/>
    <mergeCell ref="B52:B59"/>
    <mergeCell ref="B36:B38"/>
    <mergeCell ref="D64:F64"/>
    <mergeCell ref="D65:F65"/>
    <mergeCell ref="D63:F63"/>
    <mergeCell ref="J63:R63"/>
    <mergeCell ref="D62:F62"/>
    <mergeCell ref="B70:B71"/>
    <mergeCell ref="B72:B74"/>
    <mergeCell ref="B75:B81"/>
    <mergeCell ref="J95:L95"/>
    <mergeCell ref="J96:L96"/>
    <mergeCell ref="J92:L92"/>
    <mergeCell ref="M92:O92"/>
    <mergeCell ref="D66:F66"/>
    <mergeCell ref="G66:I66"/>
    <mergeCell ref="J66:L66"/>
    <mergeCell ref="M66:O66"/>
    <mergeCell ref="B67:B68"/>
    <mergeCell ref="J94:L94"/>
    <mergeCell ref="B83:B91"/>
    <mergeCell ref="S95:U96"/>
    <mergeCell ref="V95:X96"/>
    <mergeCell ref="D97:F97"/>
    <mergeCell ref="G97:I97"/>
    <mergeCell ref="J97:L97"/>
    <mergeCell ref="M97:O97"/>
    <mergeCell ref="P97:R97"/>
    <mergeCell ref="S97:U97"/>
    <mergeCell ref="V97:X97"/>
    <mergeCell ref="D95:F96"/>
    <mergeCell ref="G95:I96"/>
    <mergeCell ref="M95:O96"/>
    <mergeCell ref="B125:C126"/>
    <mergeCell ref="G125:I126"/>
    <mergeCell ref="D127:F127"/>
    <mergeCell ref="G127:I127"/>
    <mergeCell ref="B99:B100"/>
    <mergeCell ref="B101:B103"/>
    <mergeCell ref="B104:B110"/>
    <mergeCell ref="D121:F121"/>
    <mergeCell ref="P95:R96"/>
    <mergeCell ref="B95:C96"/>
    <mergeCell ref="M121:O121"/>
    <mergeCell ref="P121:R121"/>
    <mergeCell ref="G121:I121"/>
    <mergeCell ref="J121:L121"/>
    <mergeCell ref="B112:B120"/>
    <mergeCell ref="D124:F124"/>
    <mergeCell ref="S127:U127"/>
    <mergeCell ref="V127:X127"/>
    <mergeCell ref="G153:I153"/>
    <mergeCell ref="J153:L153"/>
    <mergeCell ref="M153:O153"/>
    <mergeCell ref="P153:R153"/>
    <mergeCell ref="S153:U153"/>
    <mergeCell ref="V153:X153"/>
    <mergeCell ref="B129:B130"/>
    <mergeCell ref="B132:B134"/>
    <mergeCell ref="B135:B141"/>
    <mergeCell ref="B143:B150"/>
    <mergeCell ref="D153:F153"/>
    <mergeCell ref="A143:A150"/>
    <mergeCell ref="P123:R123"/>
    <mergeCell ref="P124:R124"/>
    <mergeCell ref="P32:R32"/>
    <mergeCell ref="P92:R92"/>
    <mergeCell ref="S92:U92"/>
    <mergeCell ref="V92:X92"/>
    <mergeCell ref="D92:F92"/>
    <mergeCell ref="G92:I92"/>
    <mergeCell ref="G64:I65"/>
    <mergeCell ref="J64:L65"/>
    <mergeCell ref="M64:O65"/>
    <mergeCell ref="P64:R65"/>
    <mergeCell ref="S64:U65"/>
    <mergeCell ref="V64:X65"/>
    <mergeCell ref="S121:U121"/>
    <mergeCell ref="V121:X121"/>
    <mergeCell ref="S66:U66"/>
    <mergeCell ref="V66:X66"/>
    <mergeCell ref="S125:U126"/>
    <mergeCell ref="V125:X126"/>
    <mergeCell ref="P66:R66"/>
    <mergeCell ref="J127:L127"/>
    <mergeCell ref="M127:O127"/>
    <mergeCell ref="I162:J162"/>
    <mergeCell ref="D125:F125"/>
    <mergeCell ref="D126:F126"/>
    <mergeCell ref="M125:O125"/>
    <mergeCell ref="M126:O126"/>
    <mergeCell ref="P125:R125"/>
    <mergeCell ref="P126:R126"/>
    <mergeCell ref="J125:L125"/>
    <mergeCell ref="J126:L126"/>
    <mergeCell ref="P127:R127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C6855-0F60-4295-9668-B0C18B5BC0BC}">
  <dimension ref="A2:AG175"/>
  <sheetViews>
    <sheetView topLeftCell="A93" workbookViewId="0">
      <selection activeCell="D110" sqref="D110:R117"/>
    </sheetView>
  </sheetViews>
  <sheetFormatPr baseColWidth="10" defaultColWidth="9.09765625" defaultRowHeight="13.8"/>
  <cols>
    <col min="2" max="2" width="8.8984375" customWidth="1"/>
    <col min="3" max="3" width="28.09765625" customWidth="1"/>
    <col min="4" max="24" width="8.69921875" customWidth="1"/>
    <col min="25" max="25" width="8.296875" customWidth="1"/>
    <col min="26" max="26" width="7" customWidth="1"/>
    <col min="27" max="27" width="19.3984375" customWidth="1"/>
    <col min="29" max="29" width="23.69921875" customWidth="1"/>
  </cols>
  <sheetData>
    <row r="2" spans="1:32"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</row>
    <row r="3" spans="1:32" ht="15" customHeight="1">
      <c r="B3" s="1817" t="s">
        <v>230</v>
      </c>
      <c r="C3" s="1817"/>
      <c r="D3" s="1954"/>
      <c r="E3" s="1955"/>
      <c r="F3" s="1956"/>
      <c r="G3" s="2181"/>
      <c r="H3" s="1975"/>
      <c r="I3" s="2182"/>
      <c r="J3" s="1954"/>
      <c r="K3" s="1955"/>
      <c r="L3" s="1956"/>
      <c r="M3" s="2183"/>
      <c r="N3" s="1974"/>
      <c r="O3" s="2184"/>
      <c r="P3" s="1874"/>
      <c r="Q3" s="1875"/>
      <c r="R3" s="1875"/>
      <c r="S3" s="1982"/>
      <c r="T3" s="1983"/>
      <c r="U3" s="1983"/>
      <c r="V3" s="1874"/>
      <c r="W3" s="1875"/>
      <c r="X3" s="1876"/>
      <c r="Y3" s="50"/>
      <c r="Z3" s="50"/>
      <c r="AA3" s="47"/>
    </row>
    <row r="4" spans="1:32" ht="15" customHeight="1">
      <c r="B4" s="1818"/>
      <c r="C4" s="1817"/>
      <c r="D4" s="2051"/>
      <c r="E4" s="2052"/>
      <c r="F4" s="2053"/>
      <c r="G4" s="1977"/>
      <c r="H4" s="1976"/>
      <c r="I4" s="1978"/>
      <c r="J4" s="1977"/>
      <c r="K4" s="1976"/>
      <c r="L4" s="1978"/>
      <c r="M4" s="1962"/>
      <c r="N4" s="1963"/>
      <c r="O4" s="1968"/>
      <c r="P4" s="1962"/>
      <c r="Q4" s="1963"/>
      <c r="R4" s="1963"/>
      <c r="S4" s="1984"/>
      <c r="T4" s="1985"/>
      <c r="U4" s="1985"/>
      <c r="V4" s="1962"/>
      <c r="W4" s="1963"/>
      <c r="X4" s="1968"/>
      <c r="Y4" s="17"/>
      <c r="Z4" s="17"/>
      <c r="AA4" s="17"/>
      <c r="AB4" s="17"/>
      <c r="AC4" s="17"/>
      <c r="AD4" s="17"/>
      <c r="AE4" s="17"/>
      <c r="AF4" s="17"/>
    </row>
    <row r="5" spans="1:32">
      <c r="B5" s="19" t="s">
        <v>1</v>
      </c>
      <c r="C5" s="19" t="s">
        <v>2</v>
      </c>
      <c r="D5" s="1836"/>
      <c r="E5" s="1837"/>
      <c r="F5" s="1838"/>
      <c r="G5" s="2157"/>
      <c r="H5" s="2158"/>
      <c r="I5" s="2159"/>
      <c r="J5" s="2157"/>
      <c r="K5" s="2158"/>
      <c r="L5" s="2159"/>
      <c r="M5" s="2178"/>
      <c r="N5" s="2179"/>
      <c r="O5" s="2180"/>
      <c r="P5" s="1913"/>
      <c r="Q5" s="1950"/>
      <c r="R5" s="1950"/>
      <c r="S5" s="1913"/>
      <c r="T5" s="1950"/>
      <c r="U5" s="1950"/>
      <c r="V5" s="1804" t="s">
        <v>168</v>
      </c>
      <c r="W5" s="2156"/>
      <c r="X5" s="2156"/>
      <c r="Y5" s="19" t="s">
        <v>5</v>
      </c>
      <c r="Z5" s="19" t="s">
        <v>6</v>
      </c>
      <c r="AA5" s="18" t="s">
        <v>7</v>
      </c>
      <c r="AB5" s="17"/>
      <c r="AC5" s="17"/>
      <c r="AD5" s="17"/>
      <c r="AE5" s="17"/>
      <c r="AF5" s="17"/>
    </row>
    <row r="6" spans="1:32">
      <c r="B6" s="1952" t="s">
        <v>8</v>
      </c>
      <c r="C6" s="926" t="s">
        <v>9</v>
      </c>
      <c r="D6" s="508"/>
      <c r="E6" s="136"/>
      <c r="F6" s="433"/>
      <c r="G6" s="100"/>
      <c r="H6" s="101"/>
      <c r="I6" s="102"/>
      <c r="J6" s="292"/>
      <c r="K6" s="293"/>
      <c r="L6" s="530"/>
      <c r="M6" s="508"/>
      <c r="N6" s="136"/>
      <c r="O6" s="137"/>
      <c r="P6" s="240"/>
      <c r="Q6" s="101"/>
      <c r="R6" s="102"/>
      <c r="S6" s="249"/>
      <c r="T6" s="250"/>
      <c r="U6" s="263"/>
      <c r="V6" s="682"/>
      <c r="W6" s="683"/>
      <c r="X6" s="684"/>
      <c r="Y6" s="365">
        <f>SUM(E6-D6-F6+H6-G6-I6+K6-J6-L6+N6-M6-O6+Q6-P6-R6+T6-S6-U6+W6-V6-X6)</f>
        <v>0</v>
      </c>
      <c r="Z6" s="365"/>
      <c r="AA6" s="368"/>
      <c r="AB6" s="17"/>
      <c r="AC6" s="60" t="s">
        <v>10</v>
      </c>
      <c r="AD6" s="17"/>
      <c r="AE6" s="17"/>
      <c r="AF6" s="17"/>
    </row>
    <row r="7" spans="1:32">
      <c r="B7" s="1953"/>
      <c r="C7" s="926"/>
      <c r="D7" s="1397"/>
      <c r="E7" s="1356"/>
      <c r="F7" s="1398"/>
      <c r="G7" s="1399"/>
      <c r="H7" s="1354"/>
      <c r="I7" s="1355"/>
      <c r="J7" s="1400"/>
      <c r="K7" s="1401"/>
      <c r="L7" s="1402"/>
      <c r="M7" s="1397"/>
      <c r="N7" s="1356"/>
      <c r="O7" s="1357"/>
      <c r="P7" s="1353"/>
      <c r="Q7" s="1354"/>
      <c r="R7" s="1355"/>
      <c r="S7" s="1403"/>
      <c r="T7" s="1404"/>
      <c r="U7" s="1405"/>
      <c r="V7" s="682"/>
      <c r="W7" s="683"/>
      <c r="X7" s="684"/>
      <c r="Y7" s="822"/>
      <c r="Z7" s="822"/>
      <c r="AA7" s="366"/>
      <c r="AB7" s="17"/>
      <c r="AC7" s="1406"/>
      <c r="AD7" s="17"/>
      <c r="AE7" s="17"/>
      <c r="AF7" s="17"/>
    </row>
    <row r="8" spans="1:32">
      <c r="A8" s="50"/>
      <c r="B8" s="2004" t="s">
        <v>11</v>
      </c>
      <c r="C8" s="1314" t="s">
        <v>51</v>
      </c>
      <c r="D8" s="89"/>
      <c r="E8" s="83"/>
      <c r="F8" s="413"/>
      <c r="G8" s="90"/>
      <c r="H8" s="86"/>
      <c r="I8" s="87"/>
      <c r="J8" s="407"/>
      <c r="K8" s="196"/>
      <c r="L8" s="310"/>
      <c r="M8" s="89"/>
      <c r="N8" s="83"/>
      <c r="O8" s="84"/>
      <c r="P8" s="85"/>
      <c r="Q8" s="86"/>
      <c r="R8" s="87"/>
      <c r="S8" s="85"/>
      <c r="T8" s="86"/>
      <c r="U8" s="87"/>
      <c r="V8" s="244">
        <v>10</v>
      </c>
      <c r="W8" s="237">
        <v>20</v>
      </c>
      <c r="X8" s="245">
        <v>1</v>
      </c>
      <c r="Y8" s="364">
        <f t="shared" ref="Y8:Y23" si="0">SUM(E8-D8-F8+H8-G8-I8+K8-J8-L8+N8-M8-O8+Q8-P8-R8+T8-S8-U8+W8-V8-X8)</f>
        <v>9</v>
      </c>
      <c r="Z8" s="364"/>
      <c r="AA8" s="14"/>
      <c r="AB8" s="17"/>
      <c r="AC8" s="62" t="s">
        <v>13</v>
      </c>
      <c r="AD8" s="1839"/>
      <c r="AE8" s="1840"/>
      <c r="AF8" s="1840"/>
    </row>
    <row r="9" spans="1:32">
      <c r="A9" s="50"/>
      <c r="B9" s="2191"/>
      <c r="C9" s="927" t="s">
        <v>14</v>
      </c>
      <c r="D9" s="508"/>
      <c r="E9" s="136"/>
      <c r="F9" s="433"/>
      <c r="G9" s="100"/>
      <c r="H9" s="101"/>
      <c r="I9" s="102"/>
      <c r="J9" s="292"/>
      <c r="K9" s="293"/>
      <c r="L9" s="530"/>
      <c r="M9" s="508"/>
      <c r="N9" s="136"/>
      <c r="O9" s="137"/>
      <c r="P9" s="240"/>
      <c r="Q9" s="101"/>
      <c r="R9" s="102"/>
      <c r="S9" s="240"/>
      <c r="T9" s="101"/>
      <c r="U9" s="102"/>
      <c r="V9" s="1429"/>
      <c r="W9" s="1430"/>
      <c r="X9" s="1431"/>
      <c r="Y9" s="365">
        <f t="shared" si="0"/>
        <v>0</v>
      </c>
      <c r="Z9" s="365"/>
      <c r="AA9" s="368"/>
      <c r="AB9" s="17"/>
      <c r="AC9" s="61" t="s">
        <v>15</v>
      </c>
      <c r="AD9" s="1859"/>
      <c r="AE9" s="1860"/>
      <c r="AF9" s="1860"/>
    </row>
    <row r="10" spans="1:32">
      <c r="B10" s="2192"/>
      <c r="C10" s="923" t="s">
        <v>28</v>
      </c>
      <c r="D10" s="508"/>
      <c r="E10" s="136"/>
      <c r="F10" s="433"/>
      <c r="G10" s="100"/>
      <c r="H10" s="101"/>
      <c r="I10" s="102"/>
      <c r="J10" s="292"/>
      <c r="K10" s="293"/>
      <c r="L10" s="530"/>
      <c r="M10" s="508"/>
      <c r="N10" s="136"/>
      <c r="O10" s="137"/>
      <c r="P10" s="240"/>
      <c r="Q10" s="101"/>
      <c r="R10" s="102"/>
      <c r="S10" s="240"/>
      <c r="T10" s="101"/>
      <c r="U10" s="102"/>
      <c r="V10" s="1253">
        <v>10</v>
      </c>
      <c r="W10" s="1254">
        <v>20</v>
      </c>
      <c r="X10" s="1255">
        <v>1</v>
      </c>
      <c r="Y10" s="365">
        <f t="shared" si="0"/>
        <v>9</v>
      </c>
      <c r="Z10" s="365"/>
      <c r="AA10" s="368"/>
      <c r="AB10" s="17"/>
      <c r="AC10" s="58" t="s">
        <v>20</v>
      </c>
      <c r="AD10" s="23"/>
      <c r="AE10" s="45"/>
      <c r="AF10" s="45"/>
    </row>
    <row r="11" spans="1:32">
      <c r="B11" s="2192"/>
      <c r="C11" s="923" t="s">
        <v>21</v>
      </c>
      <c r="D11" s="417"/>
      <c r="E11" s="74"/>
      <c r="F11" s="480"/>
      <c r="G11" s="406"/>
      <c r="H11" s="77"/>
      <c r="I11" s="78"/>
      <c r="J11" s="186"/>
      <c r="K11" s="187"/>
      <c r="L11" s="192"/>
      <c r="M11" s="417"/>
      <c r="N11" s="74"/>
      <c r="O11" s="75"/>
      <c r="P11" s="76"/>
      <c r="Q11" s="77"/>
      <c r="R11" s="78"/>
      <c r="S11" s="76"/>
      <c r="T11" s="77"/>
      <c r="U11" s="78"/>
      <c r="V11" s="752">
        <v>10</v>
      </c>
      <c r="W11" s="753">
        <v>20</v>
      </c>
      <c r="X11" s="754">
        <v>1</v>
      </c>
      <c r="Y11" s="362">
        <f t="shared" si="0"/>
        <v>9</v>
      </c>
      <c r="Z11" s="362"/>
      <c r="AA11" s="6"/>
      <c r="AB11" s="17"/>
      <c r="AC11" s="48" t="s">
        <v>22</v>
      </c>
      <c r="AD11" s="1859"/>
      <c r="AE11" s="1860"/>
      <c r="AF11" s="1860"/>
    </row>
    <row r="12" spans="1:32">
      <c r="B12" s="2049"/>
      <c r="C12" s="928" t="s">
        <v>53</v>
      </c>
      <c r="D12" s="89"/>
      <c r="E12" s="83"/>
      <c r="F12" s="413"/>
      <c r="G12" s="90"/>
      <c r="H12" s="86"/>
      <c r="I12" s="87"/>
      <c r="J12" s="407"/>
      <c r="K12" s="196"/>
      <c r="L12" s="310"/>
      <c r="M12" s="89"/>
      <c r="N12" s="83"/>
      <c r="O12" s="84"/>
      <c r="P12" s="85"/>
      <c r="Q12" s="86"/>
      <c r="R12" s="87"/>
      <c r="S12" s="85"/>
      <c r="T12" s="86"/>
      <c r="U12" s="87"/>
      <c r="V12" s="211"/>
      <c r="W12" s="212"/>
      <c r="X12" s="213"/>
      <c r="Y12" s="364">
        <f t="shared" si="0"/>
        <v>0</v>
      </c>
      <c r="Z12" s="364"/>
      <c r="AA12" s="14"/>
      <c r="AB12" s="17"/>
      <c r="AC12" s="23"/>
      <c r="AD12" s="17"/>
      <c r="AE12" s="17"/>
      <c r="AF12" s="17"/>
    </row>
    <row r="13" spans="1:32">
      <c r="A13" s="50"/>
      <c r="B13" s="1830" t="s">
        <v>171</v>
      </c>
      <c r="C13" s="1111" t="s">
        <v>25</v>
      </c>
      <c r="D13" s="135"/>
      <c r="E13" s="136"/>
      <c r="F13" s="433"/>
      <c r="G13" s="508"/>
      <c r="H13" s="136"/>
      <c r="I13" s="137"/>
      <c r="J13" s="292"/>
      <c r="K13" s="293"/>
      <c r="L13" s="530"/>
      <c r="M13" s="508"/>
      <c r="N13" s="136"/>
      <c r="O13" s="137"/>
      <c r="P13" s="240"/>
      <c r="Q13" s="101"/>
      <c r="R13" s="102"/>
      <c r="S13" s="135"/>
      <c r="T13" s="136"/>
      <c r="U13" s="137"/>
      <c r="V13" s="682"/>
      <c r="W13" s="683"/>
      <c r="X13" s="684"/>
      <c r="Y13" s="365">
        <f t="shared" si="0"/>
        <v>0</v>
      </c>
      <c r="Z13" s="365"/>
      <c r="AA13" s="368"/>
      <c r="AB13" s="17"/>
      <c r="AC13" s="23"/>
      <c r="AD13" s="17"/>
      <c r="AE13" s="17"/>
      <c r="AF13" s="17"/>
    </row>
    <row r="14" spans="1:32">
      <c r="A14" s="50"/>
      <c r="B14" s="1831"/>
      <c r="C14" s="695" t="s">
        <v>27</v>
      </c>
      <c r="D14" s="73"/>
      <c r="E14" s="74"/>
      <c r="F14" s="480"/>
      <c r="G14" s="406"/>
      <c r="H14" s="77"/>
      <c r="I14" s="78"/>
      <c r="J14" s="186"/>
      <c r="K14" s="187"/>
      <c r="L14" s="192"/>
      <c r="M14" s="417"/>
      <c r="N14" s="74"/>
      <c r="O14" s="75"/>
      <c r="P14" s="73"/>
      <c r="Q14" s="74"/>
      <c r="R14" s="75"/>
      <c r="S14" s="76"/>
      <c r="T14" s="77"/>
      <c r="U14" s="78"/>
      <c r="V14" s="752">
        <v>10</v>
      </c>
      <c r="W14" s="753">
        <v>20</v>
      </c>
      <c r="X14" s="754">
        <v>1</v>
      </c>
      <c r="Y14" s="362">
        <f t="shared" si="0"/>
        <v>9</v>
      </c>
      <c r="Z14" s="362"/>
      <c r="AA14" s="6"/>
      <c r="AB14" s="17"/>
      <c r="AC14" s="17"/>
      <c r="AD14" s="17"/>
      <c r="AE14" s="17"/>
      <c r="AF14" s="17"/>
    </row>
    <row r="15" spans="1:32">
      <c r="A15" s="50"/>
      <c r="B15" s="1831"/>
      <c r="C15" s="695" t="s">
        <v>31</v>
      </c>
      <c r="D15" s="73"/>
      <c r="E15" s="74"/>
      <c r="F15" s="480"/>
      <c r="G15" s="406"/>
      <c r="H15" s="77"/>
      <c r="I15" s="78"/>
      <c r="J15" s="186"/>
      <c r="K15" s="187"/>
      <c r="L15" s="192"/>
      <c r="M15" s="406"/>
      <c r="N15" s="77"/>
      <c r="O15" s="78"/>
      <c r="P15" s="186"/>
      <c r="Q15" s="187"/>
      <c r="R15" s="188"/>
      <c r="S15" s="73"/>
      <c r="T15" s="74"/>
      <c r="U15" s="75"/>
      <c r="V15" s="173"/>
      <c r="W15" s="174"/>
      <c r="X15" s="360"/>
      <c r="Y15" s="362">
        <f t="shared" si="0"/>
        <v>0</v>
      </c>
      <c r="Z15" s="362"/>
      <c r="AA15" s="6"/>
      <c r="AB15" s="17"/>
      <c r="AC15" s="17"/>
      <c r="AD15" s="17"/>
      <c r="AE15" s="17"/>
      <c r="AF15" s="17"/>
    </row>
    <row r="16" spans="1:32">
      <c r="A16" s="50"/>
      <c r="B16" s="1831"/>
      <c r="C16" s="695" t="s">
        <v>55</v>
      </c>
      <c r="D16" s="73"/>
      <c r="E16" s="74"/>
      <c r="F16" s="480"/>
      <c r="G16" s="406"/>
      <c r="H16" s="77"/>
      <c r="I16" s="78"/>
      <c r="J16" s="186"/>
      <c r="K16" s="187"/>
      <c r="L16" s="192"/>
      <c r="M16" s="417"/>
      <c r="N16" s="74"/>
      <c r="O16" s="75"/>
      <c r="P16" s="73"/>
      <c r="Q16" s="74"/>
      <c r="R16" s="75"/>
      <c r="S16" s="76"/>
      <c r="T16" s="77"/>
      <c r="U16" s="78"/>
      <c r="V16" s="752">
        <v>10</v>
      </c>
      <c r="W16" s="753">
        <v>20</v>
      </c>
      <c r="X16" s="754">
        <v>1</v>
      </c>
      <c r="Y16" s="362">
        <f t="shared" si="0"/>
        <v>9</v>
      </c>
      <c r="Z16" s="362"/>
      <c r="AA16" s="6"/>
      <c r="AB16" s="17"/>
      <c r="AC16" s="17"/>
      <c r="AD16" s="17"/>
      <c r="AE16" s="17"/>
      <c r="AF16" s="17"/>
    </row>
    <row r="17" spans="1:32" ht="15" customHeight="1">
      <c r="A17" s="50"/>
      <c r="B17" s="1831"/>
      <c r="C17" s="695" t="s">
        <v>172</v>
      </c>
      <c r="D17" s="73"/>
      <c r="E17" s="74"/>
      <c r="F17" s="480"/>
      <c r="G17" s="191"/>
      <c r="H17" s="187"/>
      <c r="I17" s="188"/>
      <c r="J17" s="186"/>
      <c r="K17" s="187"/>
      <c r="L17" s="192"/>
      <c r="M17" s="417"/>
      <c r="N17" s="74"/>
      <c r="O17" s="75"/>
      <c r="P17" s="76"/>
      <c r="Q17" s="77"/>
      <c r="R17" s="78"/>
      <c r="S17" s="76"/>
      <c r="T17" s="77"/>
      <c r="U17" s="78"/>
      <c r="V17" s="752">
        <v>8</v>
      </c>
      <c r="W17" s="753">
        <v>18</v>
      </c>
      <c r="X17" s="754">
        <v>1</v>
      </c>
      <c r="Y17" s="362">
        <f t="shared" si="0"/>
        <v>9</v>
      </c>
      <c r="Z17" s="362"/>
      <c r="AA17" s="6"/>
      <c r="AB17" s="17"/>
      <c r="AC17" s="17"/>
      <c r="AD17" s="17"/>
      <c r="AE17" s="17"/>
      <c r="AF17" s="17"/>
    </row>
    <row r="18" spans="1:32">
      <c r="A18" s="50"/>
      <c r="B18" s="1831"/>
      <c r="C18" s="695" t="s">
        <v>87</v>
      </c>
      <c r="D18" s="73"/>
      <c r="E18" s="74"/>
      <c r="F18" s="480"/>
      <c r="G18" s="417"/>
      <c r="H18" s="74"/>
      <c r="I18" s="75"/>
      <c r="J18" s="186"/>
      <c r="K18" s="187"/>
      <c r="L18" s="192"/>
      <c r="M18" s="417"/>
      <c r="N18" s="74"/>
      <c r="O18" s="75"/>
      <c r="P18" s="73"/>
      <c r="Q18" s="74"/>
      <c r="R18" s="75"/>
      <c r="S18" s="76"/>
      <c r="T18" s="77"/>
      <c r="U18" s="78"/>
      <c r="V18" s="173"/>
      <c r="W18" s="174"/>
      <c r="X18" s="360"/>
      <c r="Y18" s="362">
        <f t="shared" si="0"/>
        <v>0</v>
      </c>
      <c r="Z18" s="362"/>
      <c r="AA18" s="6"/>
      <c r="AB18" s="17"/>
      <c r="AC18" s="17"/>
      <c r="AD18" s="17"/>
      <c r="AE18" s="17"/>
      <c r="AF18" s="17"/>
    </row>
    <row r="19" spans="1:32">
      <c r="A19" s="50"/>
      <c r="B19" s="1831"/>
      <c r="C19" s="695" t="s">
        <v>104</v>
      </c>
      <c r="D19" s="73"/>
      <c r="E19" s="74"/>
      <c r="F19" s="480"/>
      <c r="G19" s="417"/>
      <c r="H19" s="74"/>
      <c r="I19" s="75"/>
      <c r="J19" s="186"/>
      <c r="K19" s="187"/>
      <c r="L19" s="192"/>
      <c r="M19" s="417"/>
      <c r="N19" s="74"/>
      <c r="O19" s="75"/>
      <c r="P19" s="73"/>
      <c r="Q19" s="74"/>
      <c r="R19" s="75"/>
      <c r="S19" s="73"/>
      <c r="T19" s="74"/>
      <c r="U19" s="75"/>
      <c r="V19" s="173"/>
      <c r="W19" s="174"/>
      <c r="X19" s="360"/>
      <c r="Y19" s="362">
        <f t="shared" si="0"/>
        <v>0</v>
      </c>
      <c r="Z19" s="362"/>
      <c r="AA19" s="6"/>
      <c r="AB19" s="17"/>
      <c r="AC19" s="17"/>
      <c r="AD19" s="17"/>
      <c r="AE19" s="17"/>
      <c r="AF19" s="17"/>
    </row>
    <row r="20" spans="1:32" ht="15" customHeight="1">
      <c r="A20" s="50"/>
      <c r="B20" s="1831"/>
      <c r="C20" s="932" t="s">
        <v>187</v>
      </c>
      <c r="D20" s="241"/>
      <c r="E20" s="238"/>
      <c r="F20" s="537"/>
      <c r="G20" s="775"/>
      <c r="H20" s="239"/>
      <c r="I20" s="243"/>
      <c r="J20" s="606"/>
      <c r="K20" s="607"/>
      <c r="L20" s="608"/>
      <c r="M20" s="432"/>
      <c r="N20" s="238"/>
      <c r="O20" s="246"/>
      <c r="P20" s="242"/>
      <c r="Q20" s="239"/>
      <c r="R20" s="243"/>
      <c r="S20" s="242"/>
      <c r="T20" s="239"/>
      <c r="U20" s="243"/>
      <c r="V20" s="1270">
        <v>8</v>
      </c>
      <c r="W20" s="1271">
        <v>18</v>
      </c>
      <c r="X20" s="1287">
        <v>1</v>
      </c>
      <c r="Y20" s="363">
        <f t="shared" si="0"/>
        <v>9</v>
      </c>
      <c r="Z20" s="363"/>
      <c r="AA20" s="369"/>
      <c r="AB20" s="17"/>
      <c r="AC20" s="17"/>
      <c r="AD20" s="17"/>
      <c r="AE20" s="17"/>
      <c r="AF20" s="17"/>
    </row>
    <row r="21" spans="1:32">
      <c r="A21" s="50"/>
      <c r="B21" s="1830" t="s">
        <v>116</v>
      </c>
      <c r="C21" s="956" t="s">
        <v>32</v>
      </c>
      <c r="D21" s="411"/>
      <c r="E21" s="63"/>
      <c r="F21" s="63"/>
      <c r="G21" s="66"/>
      <c r="H21" s="66"/>
      <c r="I21" s="66"/>
      <c r="J21" s="1092"/>
      <c r="K21" s="1092"/>
      <c r="L21" s="1092"/>
      <c r="M21" s="63"/>
      <c r="N21" s="63"/>
      <c r="O21" s="63"/>
      <c r="P21" s="66"/>
      <c r="Q21" s="66"/>
      <c r="R21" s="66"/>
      <c r="S21" s="66"/>
      <c r="T21" s="66"/>
      <c r="U21" s="66"/>
      <c r="V21" s="1279">
        <v>11</v>
      </c>
      <c r="W21" s="1279">
        <v>20</v>
      </c>
      <c r="X21" s="1279">
        <v>1</v>
      </c>
      <c r="Y21" s="1312">
        <f t="shared" si="0"/>
        <v>8</v>
      </c>
      <c r="Z21" s="1312"/>
      <c r="AA21" s="1313"/>
      <c r="AB21" s="17"/>
      <c r="AC21" s="17"/>
      <c r="AD21" s="17"/>
      <c r="AE21" s="17"/>
      <c r="AF21" s="17"/>
    </row>
    <row r="22" spans="1:32">
      <c r="A22" s="50"/>
      <c r="B22" s="1831"/>
      <c r="C22" s="957" t="s">
        <v>114</v>
      </c>
      <c r="D22" s="417"/>
      <c r="E22" s="74"/>
      <c r="F22" s="74"/>
      <c r="G22" s="77"/>
      <c r="H22" s="77"/>
      <c r="I22" s="77"/>
      <c r="J22" s="187"/>
      <c r="K22" s="187"/>
      <c r="L22" s="187"/>
      <c r="M22" s="74"/>
      <c r="N22" s="74"/>
      <c r="O22" s="74"/>
      <c r="P22" s="77"/>
      <c r="Q22" s="77"/>
      <c r="R22" s="77"/>
      <c r="S22" s="77"/>
      <c r="T22" s="77"/>
      <c r="U22" s="77"/>
      <c r="V22" s="753">
        <v>15</v>
      </c>
      <c r="W22" s="753">
        <v>20</v>
      </c>
      <c r="X22" s="753">
        <v>1</v>
      </c>
      <c r="Y22" s="1312">
        <f t="shared" si="0"/>
        <v>4</v>
      </c>
      <c r="Z22" s="765"/>
      <c r="AA22" s="1223"/>
      <c r="AB22" s="17"/>
      <c r="AC22" s="17"/>
      <c r="AD22" s="17"/>
      <c r="AE22" s="17"/>
      <c r="AF22" s="17"/>
    </row>
    <row r="23" spans="1:32">
      <c r="A23" s="50"/>
      <c r="B23" s="1831"/>
      <c r="C23" s="957" t="s">
        <v>89</v>
      </c>
      <c r="D23" s="417"/>
      <c r="E23" s="74"/>
      <c r="F23" s="74"/>
      <c r="G23" s="77"/>
      <c r="H23" s="77"/>
      <c r="I23" s="77"/>
      <c r="J23" s="187"/>
      <c r="K23" s="187"/>
      <c r="L23" s="187"/>
      <c r="M23" s="74"/>
      <c r="N23" s="74"/>
      <c r="O23" s="74"/>
      <c r="P23" s="77"/>
      <c r="Q23" s="77"/>
      <c r="R23" s="77"/>
      <c r="S23" s="77"/>
      <c r="T23" s="77"/>
      <c r="U23" s="77"/>
      <c r="V23" s="753">
        <v>11</v>
      </c>
      <c r="W23" s="753">
        <v>20</v>
      </c>
      <c r="X23" s="753">
        <v>1</v>
      </c>
      <c r="Y23" s="1312">
        <f t="shared" si="0"/>
        <v>8</v>
      </c>
      <c r="Z23" s="765"/>
      <c r="AA23" s="1223"/>
      <c r="AB23" s="17"/>
      <c r="AC23" s="17"/>
      <c r="AD23" s="17"/>
      <c r="AE23" s="17"/>
      <c r="AF23" s="17"/>
    </row>
    <row r="24" spans="1:32">
      <c r="A24" s="50"/>
      <c r="B24" s="1831"/>
      <c r="C24" s="957" t="s">
        <v>38</v>
      </c>
      <c r="D24" s="417"/>
      <c r="E24" s="74"/>
      <c r="F24" s="74"/>
      <c r="G24" s="77"/>
      <c r="H24" s="77"/>
      <c r="I24" s="77"/>
      <c r="J24" s="187"/>
      <c r="K24" s="187"/>
      <c r="L24" s="187"/>
      <c r="M24" s="533"/>
      <c r="N24" s="533"/>
      <c r="O24" s="533"/>
      <c r="P24" s="77"/>
      <c r="Q24" s="77"/>
      <c r="R24" s="77"/>
      <c r="S24" s="77"/>
      <c r="T24" s="77"/>
      <c r="U24" s="77"/>
      <c r="V24" s="753"/>
      <c r="W24" s="753"/>
      <c r="X24" s="753"/>
      <c r="Y24" s="1312"/>
      <c r="Z24" s="765"/>
      <c r="AA24" s="1223"/>
      <c r="AB24" s="17"/>
      <c r="AC24" s="17"/>
      <c r="AD24" s="17"/>
      <c r="AE24" s="17"/>
      <c r="AF24" s="17"/>
    </row>
    <row r="25" spans="1:32">
      <c r="A25" s="50"/>
      <c r="B25" s="1831"/>
      <c r="C25" s="957" t="s">
        <v>188</v>
      </c>
      <c r="D25" s="417"/>
      <c r="E25" s="74"/>
      <c r="F25" s="74"/>
      <c r="G25" s="74"/>
      <c r="H25" s="74"/>
      <c r="I25" s="74"/>
      <c r="J25" s="187"/>
      <c r="K25" s="187"/>
      <c r="L25" s="187"/>
      <c r="M25" s="533"/>
      <c r="N25" s="533"/>
      <c r="O25" s="533"/>
      <c r="P25" s="74"/>
      <c r="Q25" s="74"/>
      <c r="R25" s="74"/>
      <c r="S25" s="74"/>
      <c r="T25" s="74"/>
      <c r="U25" s="74"/>
      <c r="V25" s="753">
        <v>12</v>
      </c>
      <c r="W25" s="753">
        <v>20</v>
      </c>
      <c r="X25" s="753">
        <v>1</v>
      </c>
      <c r="Y25" s="1312">
        <f>SUM(E25-D25-F25+H25-G25-I25+K25-J25-L25+N25-M25-O25+Q25-P25-R25+T25-S25-U25+W25-V25-X25)</f>
        <v>7</v>
      </c>
      <c r="Z25" s="765"/>
      <c r="AA25" s="1223"/>
      <c r="AB25" s="17"/>
      <c r="AC25" s="17"/>
      <c r="AD25" s="17"/>
      <c r="AE25" s="17"/>
      <c r="AF25" s="17"/>
    </row>
    <row r="26" spans="1:32">
      <c r="A26" s="50"/>
      <c r="B26" s="1831"/>
      <c r="C26" s="957" t="s">
        <v>169</v>
      </c>
      <c r="D26" s="417"/>
      <c r="E26" s="74"/>
      <c r="F26" s="74"/>
      <c r="G26" s="74"/>
      <c r="H26" s="74"/>
      <c r="I26" s="74"/>
      <c r="J26" s="187"/>
      <c r="K26" s="187"/>
      <c r="L26" s="187"/>
      <c r="M26" s="74"/>
      <c r="N26" s="74"/>
      <c r="O26" s="74"/>
      <c r="P26" s="74"/>
      <c r="Q26" s="74"/>
      <c r="R26" s="74"/>
      <c r="S26" s="74"/>
      <c r="T26" s="74"/>
      <c r="U26" s="74"/>
      <c r="V26" s="80">
        <v>12</v>
      </c>
      <c r="W26" s="80">
        <v>20</v>
      </c>
      <c r="X26" s="80">
        <v>1</v>
      </c>
      <c r="Y26" s="1312">
        <f>SUM(E26-D26-F26+H26-G26-I26+K26-J26-L26+N26-M26-O26+Q26-P26-R26+T26-S26-U26+W26-V26-X26)</f>
        <v>7</v>
      </c>
      <c r="Z26" s="765"/>
      <c r="AA26" s="1223"/>
      <c r="AB26" s="17"/>
      <c r="AC26" s="17"/>
      <c r="AD26" s="17"/>
      <c r="AE26" s="17"/>
      <c r="AF26" s="17"/>
    </row>
    <row r="27" spans="1:32">
      <c r="A27" s="50"/>
      <c r="B27" s="1831"/>
      <c r="C27" s="957" t="s">
        <v>117</v>
      </c>
      <c r="D27" s="191"/>
      <c r="E27" s="187"/>
      <c r="F27" s="187"/>
      <c r="G27" s="187"/>
      <c r="H27" s="187"/>
      <c r="I27" s="187"/>
      <c r="J27" s="187"/>
      <c r="K27" s="187"/>
      <c r="L27" s="187"/>
      <c r="M27" s="187"/>
      <c r="N27" s="187"/>
      <c r="O27" s="187"/>
      <c r="P27" s="187"/>
      <c r="Q27" s="187"/>
      <c r="R27" s="187"/>
      <c r="S27" s="187"/>
      <c r="T27" s="187"/>
      <c r="U27" s="187"/>
      <c r="V27" s="80">
        <v>8</v>
      </c>
      <c r="W27" s="80">
        <v>17</v>
      </c>
      <c r="X27" s="80">
        <v>1</v>
      </c>
      <c r="Y27" s="1312">
        <f>SUM(E27-D27-F27+H27-G27-I27+K27-J27-L27+N27-M27-O27+Q27-P27-R27+T27-S27-U27+W27-V27-X27)</f>
        <v>8</v>
      </c>
      <c r="Z27" s="765"/>
      <c r="AA27" s="1223"/>
      <c r="AB27" s="17"/>
      <c r="AC27" s="17"/>
      <c r="AD27" s="17"/>
      <c r="AE27" s="17"/>
      <c r="AF27" s="17"/>
    </row>
    <row r="28" spans="1:32">
      <c r="A28" s="50"/>
      <c r="B28" s="1831"/>
      <c r="C28" s="957" t="s">
        <v>214</v>
      </c>
      <c r="D28" s="191"/>
      <c r="E28" s="187"/>
      <c r="F28" s="187"/>
      <c r="G28" s="187"/>
      <c r="H28" s="187"/>
      <c r="I28" s="187"/>
      <c r="J28" s="187"/>
      <c r="K28" s="187"/>
      <c r="L28" s="187"/>
      <c r="M28" s="187"/>
      <c r="N28" s="187"/>
      <c r="O28" s="187"/>
      <c r="P28" s="187"/>
      <c r="Q28" s="187"/>
      <c r="R28" s="187"/>
      <c r="S28" s="187"/>
      <c r="T28" s="187"/>
      <c r="U28" s="187"/>
      <c r="V28" s="80">
        <v>12</v>
      </c>
      <c r="W28" s="80">
        <v>20</v>
      </c>
      <c r="X28" s="80">
        <v>1</v>
      </c>
      <c r="Y28" s="1312">
        <f>SUM(E28-D28-F28+H28-G28-I28+K28-J28-L28+N28-M28-O28+Q28-P28-R28+T28-S28-U28+W28-V28-X28)</f>
        <v>7</v>
      </c>
      <c r="Z28" s="765"/>
      <c r="AA28" s="1223"/>
      <c r="AB28" s="17"/>
      <c r="AC28" s="17"/>
      <c r="AD28" s="17"/>
      <c r="AE28" s="17"/>
      <c r="AF28" s="17"/>
    </row>
    <row r="29" spans="1:32">
      <c r="A29" s="50"/>
      <c r="B29" s="1832"/>
      <c r="C29" s="958" t="s">
        <v>191</v>
      </c>
      <c r="D29" s="191"/>
      <c r="E29" s="187"/>
      <c r="F29" s="187"/>
      <c r="G29" s="187"/>
      <c r="H29" s="187"/>
      <c r="I29" s="187"/>
      <c r="J29" s="187"/>
      <c r="K29" s="187"/>
      <c r="L29" s="187"/>
      <c r="M29" s="187"/>
      <c r="N29" s="187"/>
      <c r="O29" s="187"/>
      <c r="P29" s="187"/>
      <c r="Q29" s="187"/>
      <c r="R29" s="187"/>
      <c r="S29" s="187"/>
      <c r="T29" s="187"/>
      <c r="U29" s="187"/>
      <c r="V29" s="80">
        <v>12</v>
      </c>
      <c r="W29" s="80">
        <v>20</v>
      </c>
      <c r="X29" s="80">
        <v>1</v>
      </c>
      <c r="Y29" s="1312">
        <f>SUM(E29-D29-F29+H29-G29-I29+K29-J29-L29+N29-M29-O29+Q29-P29-R29+T29-S29-U29+W29-V29-X29)</f>
        <v>7</v>
      </c>
      <c r="Z29" s="765"/>
      <c r="AA29" s="1223"/>
      <c r="AB29" s="17"/>
      <c r="AC29" s="17"/>
      <c r="AD29" s="17"/>
      <c r="AE29" s="17"/>
      <c r="AF29" s="17"/>
    </row>
    <row r="30" spans="1:32">
      <c r="B30" s="32"/>
      <c r="C30" s="295"/>
      <c r="D30" s="2193">
        <f>COUNT(D6:D26)</f>
        <v>0</v>
      </c>
      <c r="E30" s="2194"/>
      <c r="F30" s="2195"/>
      <c r="G30" s="2193">
        <f>COUNT(G6:G26)</f>
        <v>0</v>
      </c>
      <c r="H30" s="2194"/>
      <c r="I30" s="2195"/>
      <c r="J30" s="2193">
        <f>COUNT(J6:J26)</f>
        <v>0</v>
      </c>
      <c r="K30" s="2194"/>
      <c r="L30" s="2195"/>
      <c r="M30" s="2193">
        <f>COUNT(M6:M26)</f>
        <v>0</v>
      </c>
      <c r="N30" s="2194"/>
      <c r="O30" s="2196"/>
      <c r="P30" s="2077">
        <f>COUNT(P6:P26)</f>
        <v>0</v>
      </c>
      <c r="Q30" s="1829"/>
      <c r="R30" s="1852"/>
      <c r="S30" s="2077">
        <f>COUNT(S6:S26)</f>
        <v>0</v>
      </c>
      <c r="T30" s="1829"/>
      <c r="U30" s="1829"/>
      <c r="V30" s="1828">
        <f>COUNT(V6:V27)</f>
        <v>13</v>
      </c>
      <c r="W30" s="1829"/>
      <c r="X30" s="1833"/>
      <c r="Y30" s="23"/>
      <c r="Z30" s="23"/>
      <c r="AA30" s="17"/>
      <c r="AB30" s="17"/>
      <c r="AC30" s="17"/>
      <c r="AD30" s="17"/>
      <c r="AE30" s="17"/>
      <c r="AF30" s="17"/>
    </row>
    <row r="31" spans="1:32"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AB31" s="17"/>
      <c r="AC31" s="17"/>
      <c r="AD31" s="17"/>
      <c r="AE31" s="17"/>
      <c r="AF31" s="17"/>
    </row>
    <row r="32" spans="1:32">
      <c r="D32" s="50"/>
      <c r="E32" s="50"/>
      <c r="F32" s="50"/>
      <c r="G32" s="50"/>
      <c r="H32" s="50"/>
      <c r="I32" s="50"/>
      <c r="J32" s="50"/>
      <c r="K32" s="50"/>
      <c r="L32" s="50"/>
      <c r="M32" s="2185" t="s">
        <v>231</v>
      </c>
      <c r="N32" s="2186"/>
      <c r="O32" s="2187"/>
      <c r="P32" s="50"/>
      <c r="Q32" s="50"/>
      <c r="R32" s="50"/>
      <c r="S32" s="50"/>
      <c r="T32" s="50"/>
      <c r="U32" s="50"/>
      <c r="V32" s="50"/>
      <c r="W32" s="50"/>
      <c r="X32" s="50"/>
      <c r="AB32" s="17"/>
      <c r="AC32" s="17"/>
      <c r="AD32" s="17"/>
      <c r="AE32" s="17"/>
      <c r="AF32" s="17"/>
    </row>
    <row r="33" spans="1:32" ht="12.75" customHeight="1">
      <c r="D33" s="50"/>
      <c r="E33" s="50"/>
      <c r="F33" s="50"/>
      <c r="G33" s="50"/>
      <c r="H33" s="50"/>
      <c r="I33" s="50"/>
      <c r="J33" s="50"/>
      <c r="K33" s="50"/>
      <c r="L33" s="50"/>
      <c r="M33" s="2188"/>
      <c r="N33" s="2189"/>
      <c r="O33" s="2190"/>
      <c r="P33" s="2075"/>
      <c r="Q33" s="2075"/>
      <c r="R33" s="2076"/>
      <c r="S33" s="50"/>
      <c r="T33" s="50"/>
      <c r="U33" s="50"/>
      <c r="V33" s="50"/>
      <c r="W33" s="50"/>
      <c r="X33" s="50"/>
      <c r="AB33" s="17"/>
      <c r="AC33" s="17"/>
      <c r="AD33" s="17"/>
      <c r="AE33" s="17"/>
      <c r="AF33" s="17"/>
    </row>
    <row r="34" spans="1:32" ht="31.5" customHeight="1">
      <c r="B34" s="1817" t="str">
        <f>B3</f>
        <v>MARZO</v>
      </c>
      <c r="C34" s="1817"/>
      <c r="D34" s="1954" t="s">
        <v>232</v>
      </c>
      <c r="E34" s="1955"/>
      <c r="F34" s="1956"/>
      <c r="G34" s="2151" t="s">
        <v>94</v>
      </c>
      <c r="H34" s="2152"/>
      <c r="I34" s="2164"/>
      <c r="J34" s="2151"/>
      <c r="K34" s="2152"/>
      <c r="L34" s="2164"/>
      <c r="M34" s="2228" t="s">
        <v>233</v>
      </c>
      <c r="N34" s="2229"/>
      <c r="O34" s="2230"/>
      <c r="P34" s="2139" t="s">
        <v>234</v>
      </c>
      <c r="Q34" s="2139"/>
      <c r="R34" s="2140"/>
      <c r="S34" s="1983"/>
      <c r="T34" s="1983"/>
      <c r="U34" s="2119"/>
      <c r="V34" s="2174" t="s">
        <v>235</v>
      </c>
      <c r="W34" s="2174"/>
      <c r="X34" s="2175"/>
      <c r="Y34" s="50"/>
      <c r="Z34" s="50"/>
      <c r="AA34" s="47"/>
      <c r="AB34" s="17"/>
      <c r="AC34" s="17"/>
      <c r="AD34" s="17"/>
      <c r="AE34" s="17"/>
      <c r="AF34" s="17"/>
    </row>
    <row r="35" spans="1:32" ht="19.5" customHeight="1">
      <c r="B35" s="1818"/>
      <c r="C35" s="1818"/>
      <c r="D35" s="2051"/>
      <c r="E35" s="2052"/>
      <c r="F35" s="2053"/>
      <c r="G35" s="2154" t="s">
        <v>236</v>
      </c>
      <c r="H35" s="2155"/>
      <c r="I35" s="2172"/>
      <c r="J35" s="2153"/>
      <c r="K35" s="2130"/>
      <c r="L35" s="2131"/>
      <c r="M35" s="2169" t="s">
        <v>237</v>
      </c>
      <c r="N35" s="2170"/>
      <c r="O35" s="2171"/>
      <c r="P35" s="2169" t="s">
        <v>237</v>
      </c>
      <c r="Q35" s="2170"/>
      <c r="R35" s="2171"/>
      <c r="S35" s="1984"/>
      <c r="T35" s="1985"/>
      <c r="U35" s="2135"/>
      <c r="V35" s="2176"/>
      <c r="W35" s="2176"/>
      <c r="X35" s="2177"/>
      <c r="Y35" s="17"/>
      <c r="Z35" s="17"/>
      <c r="AA35" s="17"/>
      <c r="AB35" s="17"/>
      <c r="AC35" s="2136" t="s">
        <v>42</v>
      </c>
      <c r="AD35" s="2137"/>
      <c r="AE35" s="17"/>
      <c r="AF35" s="17"/>
    </row>
    <row r="36" spans="1:32">
      <c r="B36" s="19" t="s">
        <v>1</v>
      </c>
      <c r="C36" s="19" t="s">
        <v>2</v>
      </c>
      <c r="D36" s="1836" t="s">
        <v>178</v>
      </c>
      <c r="E36" s="1837"/>
      <c r="F36" s="1838"/>
      <c r="G36" s="2157" t="s">
        <v>179</v>
      </c>
      <c r="H36" s="2158"/>
      <c r="I36" s="2159"/>
      <c r="J36" s="1921" t="s">
        <v>180</v>
      </c>
      <c r="K36" s="1922"/>
      <c r="L36" s="2168"/>
      <c r="M36" s="1836" t="s">
        <v>181</v>
      </c>
      <c r="N36" s="1837"/>
      <c r="O36" s="1838"/>
      <c r="P36" s="1950" t="s">
        <v>182</v>
      </c>
      <c r="Q36" s="1950"/>
      <c r="R36" s="1950"/>
      <c r="S36" s="1913" t="s">
        <v>183</v>
      </c>
      <c r="T36" s="1950"/>
      <c r="U36" s="1950"/>
      <c r="V36" s="1867" t="s">
        <v>184</v>
      </c>
      <c r="W36" s="1868"/>
      <c r="X36" s="1868"/>
      <c r="Y36" s="18" t="s">
        <v>5</v>
      </c>
      <c r="Z36" s="21" t="s">
        <v>6</v>
      </c>
      <c r="AA36" s="18" t="s">
        <v>7</v>
      </c>
      <c r="AB36" s="17"/>
      <c r="AC36" s="18" t="s">
        <v>2</v>
      </c>
      <c r="AD36" s="943" t="s">
        <v>50</v>
      </c>
      <c r="AE36" s="17"/>
      <c r="AF36" s="17"/>
    </row>
    <row r="37" spans="1:32">
      <c r="B37" s="1952" t="s">
        <v>8</v>
      </c>
      <c r="C37" s="925" t="s">
        <v>9</v>
      </c>
      <c r="D37" s="1316">
        <v>10.5</v>
      </c>
      <c r="E37" s="1317">
        <v>20.5</v>
      </c>
      <c r="F37" s="1318">
        <v>1</v>
      </c>
      <c r="G37" s="766"/>
      <c r="H37" s="463"/>
      <c r="I37" s="464"/>
      <c r="J37" s="1316">
        <v>11.5</v>
      </c>
      <c r="K37" s="1317">
        <v>20.5</v>
      </c>
      <c r="L37" s="1318">
        <v>1</v>
      </c>
      <c r="M37" s="1335">
        <v>7</v>
      </c>
      <c r="N37" s="1319">
        <v>17</v>
      </c>
      <c r="O37" s="1340">
        <v>1</v>
      </c>
      <c r="P37" s="1337"/>
      <c r="Q37" s="469"/>
      <c r="R37" s="519"/>
      <c r="S37" s="1320">
        <v>10.5</v>
      </c>
      <c r="T37" s="1321">
        <v>20.5</v>
      </c>
      <c r="U37" s="1322">
        <v>1</v>
      </c>
      <c r="V37" s="1251">
        <v>10</v>
      </c>
      <c r="W37" s="1252">
        <v>20</v>
      </c>
      <c r="X37" s="1445">
        <v>1</v>
      </c>
      <c r="Y37" s="19">
        <f t="shared" ref="Y37:Y53" si="1">SUM(E37-D37-F37+H37-G37-I37+K37-J37-L37+N37-M37-O37+Q37-P37-R37+T37-S37-U37+W37-V37-X37)</f>
        <v>44</v>
      </c>
      <c r="Z37" s="365"/>
      <c r="AA37" s="368"/>
      <c r="AB37" s="17"/>
      <c r="AC37" s="1448" t="str">
        <f>C6</f>
        <v>PAOLA SALAMANCA</v>
      </c>
      <c r="AD37" s="910">
        <f>Y6+Y37+Y67+Y96+Y125</f>
        <v>172</v>
      </c>
      <c r="AE37" s="17"/>
      <c r="AF37" s="17"/>
    </row>
    <row r="38" spans="1:32">
      <c r="B38" s="1953"/>
      <c r="C38" s="925" t="s">
        <v>238</v>
      </c>
      <c r="D38" s="1316">
        <v>10.5</v>
      </c>
      <c r="E38" s="1317">
        <v>20.5</v>
      </c>
      <c r="F38" s="1318">
        <v>1</v>
      </c>
      <c r="G38" s="1344">
        <v>8</v>
      </c>
      <c r="H38" s="1345">
        <v>18</v>
      </c>
      <c r="I38" s="1346">
        <v>1</v>
      </c>
      <c r="J38" s="766"/>
      <c r="K38" s="463"/>
      <c r="L38" s="464"/>
      <c r="M38" s="1350">
        <v>9</v>
      </c>
      <c r="N38" s="1351">
        <v>19</v>
      </c>
      <c r="O38" s="1352">
        <v>1</v>
      </c>
      <c r="P38" s="1347">
        <v>7</v>
      </c>
      <c r="Q38" s="1348">
        <v>16</v>
      </c>
      <c r="R38" s="1349">
        <v>1</v>
      </c>
      <c r="S38" s="1337"/>
      <c r="T38" s="469"/>
      <c r="U38" s="519"/>
      <c r="V38" s="460">
        <v>10</v>
      </c>
      <c r="W38" s="461">
        <v>20</v>
      </c>
      <c r="X38" s="505">
        <v>1</v>
      </c>
      <c r="Y38" s="19">
        <f t="shared" si="1"/>
        <v>44</v>
      </c>
      <c r="Z38" s="362"/>
      <c r="AA38" s="6"/>
      <c r="AB38" s="17"/>
      <c r="AC38" s="1448"/>
      <c r="AD38" s="910" t="e">
        <f>Y7+Y38+Y68+#REF!+Y126</f>
        <v>#REF!</v>
      </c>
      <c r="AE38" s="17"/>
      <c r="AF38" s="17"/>
    </row>
    <row r="39" spans="1:32">
      <c r="A39" s="50"/>
      <c r="B39" s="2244" t="s">
        <v>11</v>
      </c>
      <c r="C39" s="1315" t="s">
        <v>51</v>
      </c>
      <c r="D39" s="1187">
        <v>10.5</v>
      </c>
      <c r="E39" s="1182">
        <v>20.5</v>
      </c>
      <c r="F39" s="1256">
        <v>1</v>
      </c>
      <c r="G39" s="1187">
        <v>10.5</v>
      </c>
      <c r="H39" s="1182">
        <v>20.5</v>
      </c>
      <c r="I39" s="1256">
        <v>1</v>
      </c>
      <c r="J39" s="953">
        <v>10.5</v>
      </c>
      <c r="K39" s="954">
        <v>20.5</v>
      </c>
      <c r="L39" s="1042">
        <v>1</v>
      </c>
      <c r="M39" s="1187">
        <v>11.5</v>
      </c>
      <c r="N39" s="1182">
        <v>20.5</v>
      </c>
      <c r="O39" s="1256">
        <v>1</v>
      </c>
      <c r="P39" s="1338">
        <v>7</v>
      </c>
      <c r="Q39" s="1326">
        <v>17</v>
      </c>
      <c r="R39" s="1342">
        <v>1</v>
      </c>
      <c r="S39" s="276"/>
      <c r="T39" s="277"/>
      <c r="U39" s="278"/>
      <c r="V39" s="682"/>
      <c r="W39" s="683"/>
      <c r="X39" s="684"/>
      <c r="Y39" s="365">
        <f t="shared" si="1"/>
        <v>44</v>
      </c>
      <c r="Z39" s="362"/>
      <c r="AA39" s="6"/>
      <c r="AB39" s="17"/>
      <c r="AC39" s="1448" t="str">
        <f t="shared" ref="AC39:AC52" si="2">C8</f>
        <v>OMAR SANCHEZ</v>
      </c>
      <c r="AD39" s="910">
        <f>Y8+Y39+Y69+Y97+Y126+Y153</f>
        <v>191</v>
      </c>
      <c r="AE39" s="17"/>
      <c r="AF39" s="17"/>
    </row>
    <row r="40" spans="1:32">
      <c r="A40" s="50"/>
      <c r="B40" s="2245"/>
      <c r="C40" s="1234" t="s">
        <v>14</v>
      </c>
      <c r="D40" s="1330"/>
      <c r="E40" s="1327"/>
      <c r="F40" s="1334"/>
      <c r="G40" s="1330"/>
      <c r="H40" s="1327"/>
      <c r="I40" s="1334"/>
      <c r="J40" s="1285">
        <v>10.5</v>
      </c>
      <c r="K40" s="947">
        <v>20.5</v>
      </c>
      <c r="L40" s="948">
        <v>1</v>
      </c>
      <c r="M40" s="1336">
        <v>9</v>
      </c>
      <c r="N40" s="1328">
        <v>18</v>
      </c>
      <c r="O40" s="1341">
        <v>1</v>
      </c>
      <c r="P40" s="1339">
        <v>10.5</v>
      </c>
      <c r="Q40" s="1329">
        <v>20.5</v>
      </c>
      <c r="R40" s="1343">
        <v>1</v>
      </c>
      <c r="S40" s="1391">
        <v>7</v>
      </c>
      <c r="T40" s="1392">
        <v>17</v>
      </c>
      <c r="U40" s="1393">
        <v>1</v>
      </c>
      <c r="V40" s="744">
        <v>10</v>
      </c>
      <c r="W40" s="745">
        <v>20</v>
      </c>
      <c r="X40" s="755">
        <v>1</v>
      </c>
      <c r="Y40" s="363">
        <f t="shared" si="1"/>
        <v>44</v>
      </c>
      <c r="Z40" s="362"/>
      <c r="AA40" s="6"/>
      <c r="AB40" s="17"/>
      <c r="AC40" s="1449" t="str">
        <f t="shared" si="2"/>
        <v>LUIS LOPEZ</v>
      </c>
      <c r="AD40" s="910">
        <f>Y9+Y40+Y70+Y98+Y127+Y154</f>
        <v>193</v>
      </c>
      <c r="AE40" s="17"/>
      <c r="AF40" s="17"/>
    </row>
    <row r="41" spans="1:32">
      <c r="A41" s="50"/>
      <c r="B41" s="2246"/>
      <c r="C41" s="204" t="s">
        <v>28</v>
      </c>
      <c r="D41" s="1358">
        <v>7</v>
      </c>
      <c r="E41" s="1359">
        <v>17</v>
      </c>
      <c r="F41" s="1360">
        <v>1</v>
      </c>
      <c r="G41" s="1259">
        <v>10.5</v>
      </c>
      <c r="H41" s="1257">
        <v>20.5</v>
      </c>
      <c r="I41" s="1258">
        <v>1</v>
      </c>
      <c r="J41" s="574">
        <v>7</v>
      </c>
      <c r="K41" s="575">
        <v>16</v>
      </c>
      <c r="L41" s="588">
        <v>1</v>
      </c>
      <c r="M41" s="276"/>
      <c r="N41" s="277"/>
      <c r="O41" s="278"/>
      <c r="P41" s="1187">
        <v>10.5</v>
      </c>
      <c r="Q41" s="1182">
        <v>20.5</v>
      </c>
      <c r="R41" s="1256">
        <v>1</v>
      </c>
      <c r="S41" s="1187">
        <v>10.5</v>
      </c>
      <c r="T41" s="1182">
        <v>20.5</v>
      </c>
      <c r="U41" s="1256">
        <v>1</v>
      </c>
      <c r="V41" s="682"/>
      <c r="W41" s="683"/>
      <c r="X41" s="684"/>
      <c r="Y41" s="361">
        <f t="shared" si="1"/>
        <v>44</v>
      </c>
      <c r="Z41" s="363"/>
      <c r="AA41" s="369"/>
      <c r="AB41" s="17"/>
      <c r="AC41" s="1450" t="str">
        <f t="shared" si="2"/>
        <v xml:space="preserve">MIGUEL VEGA </v>
      </c>
      <c r="AD41" s="910">
        <f t="shared" ref="AD41:AD51" si="3">Y10+Y41+Y71+Y99+Y129</f>
        <v>172</v>
      </c>
      <c r="AE41" s="17"/>
      <c r="AF41" s="17"/>
    </row>
    <row r="42" spans="1:32">
      <c r="A42" s="50"/>
      <c r="B42" s="2247"/>
      <c r="C42" s="1135" t="s">
        <v>21</v>
      </c>
      <c r="D42" s="225"/>
      <c r="E42" s="226"/>
      <c r="F42" s="248"/>
      <c r="G42" s="225"/>
      <c r="H42" s="226"/>
      <c r="I42" s="248"/>
      <c r="J42" s="850">
        <v>11.5</v>
      </c>
      <c r="K42" s="851">
        <v>20.5</v>
      </c>
      <c r="L42" s="1019">
        <v>1</v>
      </c>
      <c r="M42" s="749">
        <v>10.5</v>
      </c>
      <c r="N42" s="750">
        <v>20.5</v>
      </c>
      <c r="O42" s="751">
        <v>1</v>
      </c>
      <c r="P42" s="850">
        <v>10.5</v>
      </c>
      <c r="Q42" s="851">
        <v>20.5</v>
      </c>
      <c r="R42" s="1019">
        <v>1</v>
      </c>
      <c r="S42" s="1382">
        <v>7</v>
      </c>
      <c r="T42" s="1383">
        <v>17</v>
      </c>
      <c r="U42" s="1384">
        <v>1</v>
      </c>
      <c r="V42" s="752">
        <v>10</v>
      </c>
      <c r="W42" s="753">
        <v>20</v>
      </c>
      <c r="X42" s="754">
        <v>1</v>
      </c>
      <c r="Y42" s="2">
        <f t="shared" si="1"/>
        <v>44</v>
      </c>
      <c r="Z42" s="529"/>
      <c r="AA42" s="5"/>
      <c r="AB42" s="17"/>
      <c r="AC42" s="1451" t="str">
        <f t="shared" si="2"/>
        <v xml:space="preserve">FERNANDA RODRIGUEZ </v>
      </c>
      <c r="AD42" s="910">
        <f t="shared" si="3"/>
        <v>186</v>
      </c>
      <c r="AE42" s="17"/>
      <c r="AF42" s="17"/>
    </row>
    <row r="43" spans="1:32">
      <c r="A43" s="50"/>
      <c r="B43" s="2248"/>
      <c r="C43" s="205" t="s">
        <v>53</v>
      </c>
      <c r="D43" s="1263">
        <v>10.5</v>
      </c>
      <c r="E43" s="1264">
        <v>20.5</v>
      </c>
      <c r="F43" s="1265">
        <v>1</v>
      </c>
      <c r="G43" s="1367">
        <v>7</v>
      </c>
      <c r="H43" s="1368">
        <v>16</v>
      </c>
      <c r="I43" s="1369">
        <v>1</v>
      </c>
      <c r="J43" s="273"/>
      <c r="K43" s="274"/>
      <c r="L43" s="275"/>
      <c r="M43" s="273"/>
      <c r="N43" s="274"/>
      <c r="O43" s="275"/>
      <c r="P43" s="1281">
        <v>10.5</v>
      </c>
      <c r="Q43" s="1268">
        <v>20.5</v>
      </c>
      <c r="R43" s="1269">
        <v>1</v>
      </c>
      <c r="S43" s="1281">
        <v>10.5</v>
      </c>
      <c r="T43" s="1268">
        <v>20.5</v>
      </c>
      <c r="U43" s="1269">
        <v>1</v>
      </c>
      <c r="V43" s="1270">
        <v>10</v>
      </c>
      <c r="W43" s="1271">
        <v>20</v>
      </c>
      <c r="X43" s="1287">
        <v>1</v>
      </c>
      <c r="Y43" s="2">
        <f t="shared" si="1"/>
        <v>44</v>
      </c>
      <c r="Z43" s="457"/>
      <c r="AA43" s="6"/>
      <c r="AB43" s="17"/>
      <c r="AC43" s="1451" t="str">
        <f t="shared" si="2"/>
        <v xml:space="preserve">DANIEL GARZON </v>
      </c>
      <c r="AD43" s="910">
        <f t="shared" si="3"/>
        <v>164</v>
      </c>
      <c r="AE43" s="23"/>
      <c r="AF43" s="17"/>
    </row>
    <row r="44" spans="1:32">
      <c r="B44" s="1831" t="s">
        <v>171</v>
      </c>
      <c r="C44" s="1111" t="s">
        <v>25</v>
      </c>
      <c r="D44" s="1273">
        <v>11.5</v>
      </c>
      <c r="E44" s="1274">
        <v>20.5</v>
      </c>
      <c r="F44" s="1275">
        <v>1</v>
      </c>
      <c r="G44" s="356"/>
      <c r="H44" s="323"/>
      <c r="I44" s="359"/>
      <c r="J44" s="1085"/>
      <c r="K44" s="325"/>
      <c r="L44" s="870"/>
      <c r="M44" s="1373">
        <v>7</v>
      </c>
      <c r="N44" s="1374">
        <v>17</v>
      </c>
      <c r="O44" s="1375">
        <v>1</v>
      </c>
      <c r="P44" s="1288">
        <v>10.5</v>
      </c>
      <c r="Q44" s="1276">
        <v>20.5</v>
      </c>
      <c r="R44" s="1277">
        <v>1</v>
      </c>
      <c r="S44" s="1288">
        <v>10.5</v>
      </c>
      <c r="T44" s="1276">
        <v>20.5</v>
      </c>
      <c r="U44" s="1277">
        <v>1</v>
      </c>
      <c r="V44" s="1324">
        <v>9</v>
      </c>
      <c r="W44" s="1325">
        <v>19</v>
      </c>
      <c r="X44" s="1446">
        <v>1</v>
      </c>
      <c r="Y44" s="2">
        <f t="shared" si="1"/>
        <v>44</v>
      </c>
      <c r="Z44" s="458"/>
      <c r="AA44" s="14"/>
      <c r="AB44" s="17"/>
      <c r="AC44" s="1452" t="str">
        <f t="shared" si="2"/>
        <v xml:space="preserve">SANDY TALERO </v>
      </c>
      <c r="AD44" s="910">
        <f t="shared" si="3"/>
        <v>176</v>
      </c>
      <c r="AE44" s="17"/>
      <c r="AF44" s="17"/>
    </row>
    <row r="45" spans="1:32">
      <c r="B45" s="1831"/>
      <c r="C45" s="695" t="s">
        <v>27</v>
      </c>
      <c r="D45" s="225"/>
      <c r="E45" s="226"/>
      <c r="F45" s="248"/>
      <c r="G45" s="746">
        <v>10.5</v>
      </c>
      <c r="H45" s="747">
        <v>20.5</v>
      </c>
      <c r="I45" s="748">
        <v>1</v>
      </c>
      <c r="J45" s="1370">
        <v>7</v>
      </c>
      <c r="K45" s="1371">
        <v>16</v>
      </c>
      <c r="L45" s="1372">
        <v>1</v>
      </c>
      <c r="M45" s="746">
        <v>10.5</v>
      </c>
      <c r="N45" s="747">
        <v>20.5</v>
      </c>
      <c r="O45" s="748">
        <v>1</v>
      </c>
      <c r="P45" s="749">
        <v>10.5</v>
      </c>
      <c r="Q45" s="750">
        <v>20.5</v>
      </c>
      <c r="R45" s="751">
        <v>1</v>
      </c>
      <c r="S45" s="746">
        <v>10.5</v>
      </c>
      <c r="T45" s="747">
        <v>20.5</v>
      </c>
      <c r="U45" s="748">
        <v>1</v>
      </c>
      <c r="V45" s="173"/>
      <c r="W45" s="174"/>
      <c r="X45" s="360"/>
      <c r="Y45" s="2">
        <f t="shared" si="1"/>
        <v>44</v>
      </c>
      <c r="Z45" s="441"/>
      <c r="AA45" s="368"/>
      <c r="AB45" s="17"/>
      <c r="AC45" s="1452" t="str">
        <f t="shared" si="2"/>
        <v xml:space="preserve">DANIEL RESTREPO </v>
      </c>
      <c r="AD45" s="910">
        <f t="shared" si="3"/>
        <v>186</v>
      </c>
      <c r="AE45" s="17"/>
      <c r="AF45" s="17"/>
    </row>
    <row r="46" spans="1:32">
      <c r="B46" s="1831"/>
      <c r="C46" s="695" t="s">
        <v>31</v>
      </c>
      <c r="D46" s="225"/>
      <c r="E46" s="226"/>
      <c r="F46" s="248"/>
      <c r="G46" s="1394">
        <v>7</v>
      </c>
      <c r="H46" s="1395">
        <v>16</v>
      </c>
      <c r="I46" s="1396">
        <v>1</v>
      </c>
      <c r="J46" s="225"/>
      <c r="K46" s="226"/>
      <c r="L46" s="248"/>
      <c r="M46" s="746">
        <v>10.5</v>
      </c>
      <c r="N46" s="747">
        <v>20.5</v>
      </c>
      <c r="O46" s="748">
        <v>1</v>
      </c>
      <c r="P46" s="746">
        <v>10.5</v>
      </c>
      <c r="Q46" s="747">
        <v>20.5</v>
      </c>
      <c r="R46" s="748">
        <v>1</v>
      </c>
      <c r="S46" s="1394">
        <v>7</v>
      </c>
      <c r="T46" s="1395">
        <v>17</v>
      </c>
      <c r="U46" s="1396">
        <v>1</v>
      </c>
      <c r="V46" s="752">
        <v>10</v>
      </c>
      <c r="W46" s="753">
        <v>20</v>
      </c>
      <c r="X46" s="754">
        <v>1</v>
      </c>
      <c r="Y46" s="2">
        <f t="shared" si="1"/>
        <v>44</v>
      </c>
      <c r="Z46" s="457"/>
      <c r="AA46" s="6"/>
      <c r="AB46" s="17"/>
      <c r="AC46" s="1452" t="str">
        <f t="shared" si="2"/>
        <v xml:space="preserve">MARIA GARCIA </v>
      </c>
      <c r="AD46" s="910">
        <f t="shared" si="3"/>
        <v>172</v>
      </c>
      <c r="AE46" s="17"/>
      <c r="AF46" s="17"/>
    </row>
    <row r="47" spans="1:32">
      <c r="B47" s="1831"/>
      <c r="C47" s="695" t="s">
        <v>55</v>
      </c>
      <c r="D47" s="1361">
        <v>7</v>
      </c>
      <c r="E47" s="1362">
        <v>16</v>
      </c>
      <c r="F47" s="1363">
        <v>1</v>
      </c>
      <c r="G47" s="749">
        <v>10.5</v>
      </c>
      <c r="H47" s="750">
        <v>20.5</v>
      </c>
      <c r="I47" s="751">
        <v>1</v>
      </c>
      <c r="J47" s="424"/>
      <c r="K47" s="198"/>
      <c r="L47" s="431"/>
      <c r="M47" s="1361">
        <v>7</v>
      </c>
      <c r="N47" s="1362">
        <v>17</v>
      </c>
      <c r="O47" s="1363">
        <v>1</v>
      </c>
      <c r="P47" s="746">
        <v>10.5</v>
      </c>
      <c r="Q47" s="747">
        <v>20.5</v>
      </c>
      <c r="R47" s="748">
        <v>1</v>
      </c>
      <c r="S47" s="749">
        <v>10.5</v>
      </c>
      <c r="T47" s="750">
        <v>20.5</v>
      </c>
      <c r="U47" s="751">
        <v>1</v>
      </c>
      <c r="V47" s="173"/>
      <c r="W47" s="174"/>
      <c r="X47" s="360"/>
      <c r="Y47" s="2">
        <f t="shared" si="1"/>
        <v>44</v>
      </c>
      <c r="Z47" s="457"/>
      <c r="AA47" s="6"/>
      <c r="AB47" s="17"/>
      <c r="AC47" s="1452" t="str">
        <f t="shared" si="2"/>
        <v>JESSICA MORENO</v>
      </c>
      <c r="AD47" s="910">
        <f t="shared" si="3"/>
        <v>185</v>
      </c>
      <c r="AE47" s="17"/>
      <c r="AF47" s="17"/>
    </row>
    <row r="48" spans="1:32">
      <c r="B48" s="1831"/>
      <c r="C48" s="695" t="s">
        <v>172</v>
      </c>
      <c r="D48" s="746">
        <v>10.5</v>
      </c>
      <c r="E48" s="747">
        <v>20.5</v>
      </c>
      <c r="F48" s="748">
        <v>1</v>
      </c>
      <c r="G48" s="850">
        <v>10.5</v>
      </c>
      <c r="H48" s="851">
        <v>20.5</v>
      </c>
      <c r="I48" s="1019">
        <v>1</v>
      </c>
      <c r="J48" s="1370">
        <v>7</v>
      </c>
      <c r="K48" s="1371">
        <v>16</v>
      </c>
      <c r="L48" s="1372">
        <v>1</v>
      </c>
      <c r="M48" s="1379">
        <v>9</v>
      </c>
      <c r="N48" s="1380">
        <v>19</v>
      </c>
      <c r="O48" s="1381">
        <v>1</v>
      </c>
      <c r="P48" s="262"/>
      <c r="Q48" s="171"/>
      <c r="R48" s="172"/>
      <c r="S48" s="749">
        <v>10.5</v>
      </c>
      <c r="T48" s="750">
        <v>20.5</v>
      </c>
      <c r="U48" s="751">
        <v>1</v>
      </c>
      <c r="V48" s="173"/>
      <c r="W48" s="174"/>
      <c r="X48" s="360"/>
      <c r="Y48" s="2">
        <f t="shared" si="1"/>
        <v>44</v>
      </c>
      <c r="Z48" s="457"/>
      <c r="AA48" s="6"/>
      <c r="AB48" s="17"/>
      <c r="AC48" s="1452" t="str">
        <f t="shared" si="2"/>
        <v xml:space="preserve">ERIKA FARFAN </v>
      </c>
      <c r="AD48" s="910">
        <f t="shared" si="3"/>
        <v>185</v>
      </c>
      <c r="AE48" s="17"/>
      <c r="AF48" s="17"/>
    </row>
    <row r="49" spans="2:33">
      <c r="B49" s="1831"/>
      <c r="C49" s="695" t="s">
        <v>87</v>
      </c>
      <c r="D49" s="225"/>
      <c r="E49" s="226"/>
      <c r="F49" s="248"/>
      <c r="G49" s="746">
        <v>10.5</v>
      </c>
      <c r="H49" s="747">
        <v>20.5</v>
      </c>
      <c r="I49" s="748">
        <v>1</v>
      </c>
      <c r="J49" s="746">
        <v>11.5</v>
      </c>
      <c r="K49" s="747">
        <v>20.5</v>
      </c>
      <c r="L49" s="748">
        <v>1</v>
      </c>
      <c r="M49" s="225"/>
      <c r="N49" s="226"/>
      <c r="O49" s="248"/>
      <c r="P49" s="746">
        <v>10.5</v>
      </c>
      <c r="Q49" s="747">
        <v>20.5</v>
      </c>
      <c r="R49" s="748">
        <v>1</v>
      </c>
      <c r="S49" s="1394">
        <v>7</v>
      </c>
      <c r="T49" s="1395">
        <v>17</v>
      </c>
      <c r="U49" s="1396">
        <v>1</v>
      </c>
      <c r="V49" s="752">
        <v>10</v>
      </c>
      <c r="W49" s="753">
        <v>20</v>
      </c>
      <c r="X49" s="754">
        <v>1</v>
      </c>
      <c r="Y49" s="2">
        <f t="shared" si="1"/>
        <v>44</v>
      </c>
      <c r="Z49" s="457"/>
      <c r="AA49" s="6"/>
      <c r="AB49" s="17"/>
      <c r="AC49" s="1452" t="str">
        <f t="shared" si="2"/>
        <v>JULIAN CAMILO SANCHEZ</v>
      </c>
      <c r="AD49" s="910">
        <f t="shared" si="3"/>
        <v>172</v>
      </c>
      <c r="AE49" s="17"/>
      <c r="AF49" s="17"/>
    </row>
    <row r="50" spans="2:33">
      <c r="B50" s="1831"/>
      <c r="C50" s="695" t="s">
        <v>104</v>
      </c>
      <c r="D50" s="746">
        <v>10.5</v>
      </c>
      <c r="E50" s="747">
        <v>20.5</v>
      </c>
      <c r="F50" s="748">
        <v>1</v>
      </c>
      <c r="G50" s="225"/>
      <c r="H50" s="226"/>
      <c r="I50" s="248"/>
      <c r="J50" s="424"/>
      <c r="K50" s="198"/>
      <c r="L50" s="431"/>
      <c r="M50" s="746">
        <v>10.5</v>
      </c>
      <c r="N50" s="747">
        <v>20.5</v>
      </c>
      <c r="O50" s="748">
        <v>1</v>
      </c>
      <c r="P50" s="1382">
        <v>7</v>
      </c>
      <c r="Q50" s="1383">
        <v>16</v>
      </c>
      <c r="R50" s="1384">
        <v>1</v>
      </c>
      <c r="S50" s="746">
        <v>10.5</v>
      </c>
      <c r="T50" s="747">
        <v>20.5</v>
      </c>
      <c r="U50" s="748">
        <v>1</v>
      </c>
      <c r="V50" s="752">
        <v>10</v>
      </c>
      <c r="W50" s="753">
        <v>20</v>
      </c>
      <c r="X50" s="754">
        <v>1</v>
      </c>
      <c r="Y50" s="2">
        <f t="shared" si="1"/>
        <v>44</v>
      </c>
      <c r="Z50" s="457"/>
      <c r="AA50" s="6"/>
      <c r="AB50" s="17"/>
      <c r="AC50" s="1452" t="str">
        <f t="shared" si="2"/>
        <v xml:space="preserve">VANEZA CAICEDO </v>
      </c>
      <c r="AD50" s="910">
        <f t="shared" si="3"/>
        <v>176</v>
      </c>
      <c r="AE50" s="23"/>
      <c r="AF50" s="17"/>
      <c r="AG50" s="50"/>
    </row>
    <row r="51" spans="2:33">
      <c r="B51" s="1831"/>
      <c r="C51" s="932" t="s">
        <v>187</v>
      </c>
      <c r="D51" s="738">
        <v>10.5</v>
      </c>
      <c r="E51" s="739">
        <v>20.5</v>
      </c>
      <c r="F51" s="740">
        <v>1</v>
      </c>
      <c r="G51" s="746">
        <v>10.5</v>
      </c>
      <c r="H51" s="747">
        <v>20.5</v>
      </c>
      <c r="I51" s="748">
        <v>1</v>
      </c>
      <c r="J51" s="1095">
        <v>7</v>
      </c>
      <c r="K51" s="1096">
        <v>16</v>
      </c>
      <c r="L51" s="1097">
        <v>1</v>
      </c>
      <c r="M51" s="746">
        <v>10.5</v>
      </c>
      <c r="N51" s="747">
        <v>20.5</v>
      </c>
      <c r="O51" s="748">
        <v>1</v>
      </c>
      <c r="P51" s="209"/>
      <c r="Q51" s="210"/>
      <c r="R51" s="261"/>
      <c r="S51" s="741">
        <v>10</v>
      </c>
      <c r="T51" s="742">
        <v>20</v>
      </c>
      <c r="U51" s="743">
        <v>1</v>
      </c>
      <c r="V51" s="435"/>
      <c r="W51" s="436"/>
      <c r="X51" s="527"/>
      <c r="Y51" s="2">
        <f t="shared" si="1"/>
        <v>44</v>
      </c>
      <c r="Z51" s="457"/>
      <c r="AA51" s="6"/>
      <c r="AB51" s="17"/>
      <c r="AC51" s="1452" t="str">
        <f t="shared" si="2"/>
        <v xml:space="preserve">ANDREA MONROY </v>
      </c>
      <c r="AD51" s="1117">
        <f t="shared" si="3"/>
        <v>156</v>
      </c>
      <c r="AE51" s="50"/>
      <c r="AF51" s="50"/>
      <c r="AG51" s="50"/>
    </row>
    <row r="52" spans="2:33">
      <c r="B52" s="1830" t="s">
        <v>116</v>
      </c>
      <c r="C52" s="694" t="s">
        <v>32</v>
      </c>
      <c r="D52" s="1358">
        <v>7</v>
      </c>
      <c r="E52" s="1359">
        <v>12</v>
      </c>
      <c r="F52" s="1360"/>
      <c r="G52" s="276"/>
      <c r="H52" s="277"/>
      <c r="I52" s="278"/>
      <c r="J52" s="953">
        <v>13.5</v>
      </c>
      <c r="K52" s="954">
        <v>20.5</v>
      </c>
      <c r="L52" s="1042">
        <v>1</v>
      </c>
      <c r="M52" s="276"/>
      <c r="N52" s="277"/>
      <c r="O52" s="278"/>
      <c r="P52" s="1388">
        <v>7</v>
      </c>
      <c r="Q52" s="1389">
        <v>12</v>
      </c>
      <c r="R52" s="1390"/>
      <c r="S52" s="1259">
        <v>13.5</v>
      </c>
      <c r="T52" s="1257">
        <v>20.5</v>
      </c>
      <c r="U52" s="1258">
        <v>1</v>
      </c>
      <c r="V52" s="1278">
        <v>12</v>
      </c>
      <c r="W52" s="1279">
        <v>20</v>
      </c>
      <c r="X52" s="1286">
        <v>1</v>
      </c>
      <c r="Y52" s="2">
        <f t="shared" si="1"/>
        <v>29</v>
      </c>
      <c r="Z52" s="500"/>
      <c r="AA52" s="369"/>
      <c r="AB52" s="17"/>
      <c r="AC52" s="926" t="str">
        <f t="shared" si="2"/>
        <v>EDUARDO SANCHEZ</v>
      </c>
      <c r="AD52" s="1453">
        <f>Y21+Y52+Y82+Y110+Y139+Y166</f>
        <v>135</v>
      </c>
      <c r="AE52" s="20">
        <v>118</v>
      </c>
      <c r="AF52" s="268">
        <f>AE52-AD52</f>
        <v>-17</v>
      </c>
      <c r="AG52" s="50"/>
    </row>
    <row r="53" spans="2:33">
      <c r="B53" s="1831"/>
      <c r="C53" s="695" t="s">
        <v>89</v>
      </c>
      <c r="D53" s="746">
        <v>13.5</v>
      </c>
      <c r="E53" s="747">
        <v>20.5</v>
      </c>
      <c r="F53" s="748">
        <v>1</v>
      </c>
      <c r="G53" s="749">
        <v>16.5</v>
      </c>
      <c r="H53" s="750">
        <v>20.5</v>
      </c>
      <c r="I53" s="751"/>
      <c r="J53" s="424"/>
      <c r="K53" s="198"/>
      <c r="L53" s="431"/>
      <c r="M53" s="225"/>
      <c r="N53" s="226"/>
      <c r="O53" s="248"/>
      <c r="P53" s="749">
        <v>16.5</v>
      </c>
      <c r="Q53" s="750">
        <v>20.5</v>
      </c>
      <c r="R53" s="751"/>
      <c r="S53" s="749">
        <v>13.5</v>
      </c>
      <c r="T53" s="750">
        <v>20.5</v>
      </c>
      <c r="U53" s="751">
        <v>1</v>
      </c>
      <c r="V53" s="752">
        <v>12</v>
      </c>
      <c r="W53" s="753">
        <v>20</v>
      </c>
      <c r="X53" s="754">
        <v>1</v>
      </c>
      <c r="Y53" s="2">
        <f t="shared" si="1"/>
        <v>27</v>
      </c>
      <c r="Z53" s="457"/>
      <c r="AA53" s="6"/>
      <c r="AB53" s="17"/>
      <c r="AC53" s="926" t="str">
        <f>C23</f>
        <v>JEFFER PARRA</v>
      </c>
      <c r="AD53" s="910">
        <f>Y23+Y53+Y83+Y111+Y140+Y167</f>
        <v>131</v>
      </c>
      <c r="AE53" s="20">
        <v>118</v>
      </c>
      <c r="AF53" s="268">
        <f t="shared" ref="AF53:AF60" si="4">AE53-AD53</f>
        <v>-13</v>
      </c>
      <c r="AG53" s="50"/>
    </row>
    <row r="54" spans="2:33">
      <c r="B54" s="1831"/>
      <c r="C54" s="695" t="s">
        <v>38</v>
      </c>
      <c r="D54" s="225"/>
      <c r="E54" s="226"/>
      <c r="F54" s="248"/>
      <c r="G54" s="749"/>
      <c r="H54" s="750"/>
      <c r="I54" s="751"/>
      <c r="J54" s="850"/>
      <c r="K54" s="851"/>
      <c r="L54" s="1019"/>
      <c r="M54" s="225"/>
      <c r="N54" s="226"/>
      <c r="O54" s="248"/>
      <c r="P54" s="262"/>
      <c r="Q54" s="171"/>
      <c r="R54" s="172"/>
      <c r="S54" s="749"/>
      <c r="T54" s="750"/>
      <c r="U54" s="751"/>
      <c r="V54" s="752"/>
      <c r="W54" s="753"/>
      <c r="X54" s="754"/>
      <c r="Y54" s="2"/>
      <c r="Z54" s="457"/>
      <c r="AA54" s="6"/>
      <c r="AB54" s="17"/>
      <c r="AC54" s="926" t="s">
        <v>239</v>
      </c>
      <c r="AD54" s="910">
        <f>Y24+Y54+Y84+Y112+Y141+Y168</f>
        <v>96</v>
      </c>
      <c r="AE54" s="20">
        <v>88</v>
      </c>
      <c r="AF54" s="268">
        <f t="shared" si="4"/>
        <v>-8</v>
      </c>
      <c r="AG54" s="50"/>
    </row>
    <row r="55" spans="2:33">
      <c r="B55" s="1831"/>
      <c r="C55" s="695" t="s">
        <v>188</v>
      </c>
      <c r="D55" s="1273">
        <v>13.5</v>
      </c>
      <c r="E55" s="1274">
        <v>20.5</v>
      </c>
      <c r="F55" s="1275">
        <v>1</v>
      </c>
      <c r="G55" s="218"/>
      <c r="H55" s="166"/>
      <c r="I55" s="167"/>
      <c r="J55" s="1085"/>
      <c r="K55" s="325"/>
      <c r="L55" s="870"/>
      <c r="M55" s="225"/>
      <c r="N55" s="226"/>
      <c r="O55" s="248"/>
      <c r="P55" s="1385">
        <v>7</v>
      </c>
      <c r="Q55" s="1386">
        <v>12</v>
      </c>
      <c r="R55" s="1387"/>
      <c r="S55" s="1288">
        <v>10</v>
      </c>
      <c r="T55" s="1276">
        <v>18</v>
      </c>
      <c r="U55" s="1277">
        <v>1</v>
      </c>
      <c r="V55" s="1278">
        <v>12</v>
      </c>
      <c r="W55" s="1279">
        <v>20</v>
      </c>
      <c r="X55" s="1286">
        <v>1</v>
      </c>
      <c r="Y55" s="2">
        <f>SUM(E55-D55-F55+H55-G55-I55+K55-J55-L55+N55-M55-O55+Q55-P55-R55+T55-S55-U55+W55-V55-X55)</f>
        <v>25</v>
      </c>
      <c r="Z55" s="457"/>
      <c r="AA55" s="6"/>
      <c r="AB55" s="17"/>
      <c r="AC55" s="926" t="str">
        <f>C25</f>
        <v>JOSE CHAVEZ</v>
      </c>
      <c r="AD55" s="910">
        <f>Y25+Y55+Y85+Y113+Y142+Y169</f>
        <v>134</v>
      </c>
      <c r="AE55" s="20">
        <v>120</v>
      </c>
      <c r="AF55" s="268">
        <f t="shared" si="4"/>
        <v>-14</v>
      </c>
      <c r="AG55" s="50"/>
    </row>
    <row r="56" spans="2:33">
      <c r="B56" s="1831"/>
      <c r="C56" s="695" t="s">
        <v>169</v>
      </c>
      <c r="D56" s="225"/>
      <c r="E56" s="226"/>
      <c r="F56" s="248"/>
      <c r="G56" s="225"/>
      <c r="H56" s="226"/>
      <c r="I56" s="248"/>
      <c r="J56" s="850">
        <v>16.5</v>
      </c>
      <c r="K56" s="851">
        <v>20.5</v>
      </c>
      <c r="L56" s="1019"/>
      <c r="M56" s="746">
        <v>16.5</v>
      </c>
      <c r="N56" s="747">
        <v>20.5</v>
      </c>
      <c r="O56" s="748"/>
      <c r="P56" s="225"/>
      <c r="Q56" s="226"/>
      <c r="R56" s="248"/>
      <c r="S56" s="746">
        <v>14.5</v>
      </c>
      <c r="T56" s="747">
        <v>20.5</v>
      </c>
      <c r="U56" s="748">
        <v>1</v>
      </c>
      <c r="V56" s="752">
        <v>9</v>
      </c>
      <c r="W56" s="753">
        <v>16</v>
      </c>
      <c r="X56" s="754">
        <v>1</v>
      </c>
      <c r="Y56" s="2">
        <f>SUM(E56-D56-F56+H56-G56-I56+K56-J56-L56+N56-M56-O56+Q56-P56-R56+T56-S56-U56+W56-V56-X56)</f>
        <v>19</v>
      </c>
      <c r="Z56" s="457"/>
      <c r="AA56" s="6"/>
      <c r="AB56" s="17"/>
      <c r="AC56" s="926" t="str">
        <f>C26</f>
        <v>PEDRO MENDEZ</v>
      </c>
      <c r="AD56" s="910" t="e">
        <f>Y26+Y56+Y86+#REF!+Y143+Y170</f>
        <v>#REF!</v>
      </c>
      <c r="AE56" s="20">
        <v>118</v>
      </c>
      <c r="AF56" s="268" t="e">
        <f t="shared" si="4"/>
        <v>#REF!</v>
      </c>
      <c r="AG56" s="50"/>
    </row>
    <row r="57" spans="2:33">
      <c r="B57" s="1831"/>
      <c r="C57" s="695" t="s">
        <v>117</v>
      </c>
      <c r="D57" s="1364">
        <v>7</v>
      </c>
      <c r="E57" s="1365">
        <v>15</v>
      </c>
      <c r="F57" s="1366">
        <v>1</v>
      </c>
      <c r="G57" s="355"/>
      <c r="H57" s="346"/>
      <c r="I57" s="357"/>
      <c r="J57" s="1285">
        <v>14.5</v>
      </c>
      <c r="K57" s="947">
        <v>20.5</v>
      </c>
      <c r="L57" s="948">
        <v>1</v>
      </c>
      <c r="M57" s="1455">
        <v>7</v>
      </c>
      <c r="N57" s="1456">
        <v>11</v>
      </c>
      <c r="O57" s="1457"/>
      <c r="P57" s="1455"/>
      <c r="Q57" s="1456"/>
      <c r="R57" s="1457"/>
      <c r="S57" s="1455">
        <v>7</v>
      </c>
      <c r="T57" s="1456">
        <v>11</v>
      </c>
      <c r="U57" s="1457">
        <v>1</v>
      </c>
      <c r="V57" s="1458"/>
      <c r="W57" s="1459"/>
      <c r="X57" s="1460"/>
      <c r="Y57" s="2">
        <f>SUM(E57-D57-F57+H57-G57-I57+K57-J57-L57+N57-M57-O57+Q57-P57-R57+T57-S57-U57+W57-V57-X57)</f>
        <v>19</v>
      </c>
      <c r="Z57" s="457"/>
      <c r="AA57" s="6"/>
      <c r="AB57" s="17"/>
      <c r="AC57" s="926" t="str">
        <f>C27</f>
        <v xml:space="preserve">DIEGO ARAGON </v>
      </c>
      <c r="AD57" s="910">
        <f>Y27+Y57+Y87+Y114+Y144+Y171</f>
        <v>125</v>
      </c>
      <c r="AE57" s="20">
        <v>114</v>
      </c>
      <c r="AF57" s="268">
        <f t="shared" si="4"/>
        <v>-11</v>
      </c>
      <c r="AG57" s="50"/>
    </row>
    <row r="58" spans="2:33">
      <c r="B58" s="1831"/>
      <c r="C58" s="695" t="s">
        <v>214</v>
      </c>
      <c r="D58" s="1266">
        <v>16.5</v>
      </c>
      <c r="E58" s="1249">
        <v>20.5</v>
      </c>
      <c r="F58" s="1267"/>
      <c r="G58" s="1370">
        <v>7</v>
      </c>
      <c r="H58" s="1371">
        <v>12</v>
      </c>
      <c r="I58" s="1372"/>
      <c r="J58" s="424"/>
      <c r="K58" s="198"/>
      <c r="L58" s="431"/>
      <c r="M58" s="1067">
        <v>9</v>
      </c>
      <c r="N58" s="1068">
        <v>18</v>
      </c>
      <c r="O58" s="1069">
        <v>1</v>
      </c>
      <c r="P58" s="850">
        <v>13.5</v>
      </c>
      <c r="Q58" s="851">
        <v>20.5</v>
      </c>
      <c r="R58" s="1019">
        <v>1</v>
      </c>
      <c r="S58" s="850">
        <v>15.5</v>
      </c>
      <c r="T58" s="851">
        <v>20.5</v>
      </c>
      <c r="U58" s="1019"/>
      <c r="V58" s="752">
        <v>12</v>
      </c>
      <c r="W58" s="753">
        <v>20</v>
      </c>
      <c r="X58" s="754">
        <v>1</v>
      </c>
      <c r="Y58" s="298">
        <f>SUM(E58-D58-F58+H58-G58-I58+K58-J58-L58+N58-M58-O58+Q58-P58-R58+T58-S58-U58+W58-V58-X58)</f>
        <v>35</v>
      </c>
      <c r="Z58" s="500"/>
      <c r="AA58" s="369"/>
      <c r="AB58" s="17"/>
      <c r="AC58" s="926" t="str">
        <f>C28</f>
        <v>JUAN DANIEL CASALLAS</v>
      </c>
      <c r="AD58" s="910">
        <f>Y28+Y58+Y88+Y115+Y145+Y172</f>
        <v>135</v>
      </c>
      <c r="AE58" s="20">
        <v>120</v>
      </c>
      <c r="AF58" s="268">
        <f t="shared" si="4"/>
        <v>-15</v>
      </c>
      <c r="AG58" s="50"/>
    </row>
    <row r="59" spans="2:33">
      <c r="B59" s="1832"/>
      <c r="C59" s="561" t="s">
        <v>191</v>
      </c>
      <c r="D59" s="1331"/>
      <c r="E59" s="1332"/>
      <c r="F59" s="1333"/>
      <c r="G59" s="1266">
        <v>16.5</v>
      </c>
      <c r="H59" s="1249">
        <v>20.5</v>
      </c>
      <c r="I59" s="1267"/>
      <c r="J59" s="1266">
        <v>16.5</v>
      </c>
      <c r="K59" s="1249">
        <v>20.5</v>
      </c>
      <c r="L59" s="1267"/>
      <c r="M59" s="1376">
        <v>7</v>
      </c>
      <c r="N59" s="1377">
        <v>15</v>
      </c>
      <c r="O59" s="1378">
        <v>1</v>
      </c>
      <c r="P59" s="936"/>
      <c r="Q59" s="937"/>
      <c r="R59" s="938"/>
      <c r="S59" s="1266">
        <v>15.5</v>
      </c>
      <c r="T59" s="1249">
        <v>20.5</v>
      </c>
      <c r="U59" s="1267"/>
      <c r="V59" s="1270">
        <v>12</v>
      </c>
      <c r="W59" s="1271">
        <v>20</v>
      </c>
      <c r="X59" s="1287">
        <v>1</v>
      </c>
      <c r="Y59" s="298">
        <f>SUM(E59-D59-F59+H59-G59-I59+K59-J59-L59+N59-M59-O59+Q59-P59-R59+T59-S59-U59+W59-V59-X59)</f>
        <v>27</v>
      </c>
      <c r="Z59" s="23"/>
      <c r="AA59" s="17"/>
      <c r="AB59" s="17"/>
      <c r="AC59" s="926" t="str">
        <f>C29</f>
        <v xml:space="preserve">ALEJANDRA DURAN </v>
      </c>
      <c r="AD59" s="1117">
        <f>Y29+Y59+Y89+Y116+Y146+Y173</f>
        <v>133</v>
      </c>
      <c r="AE59" s="20">
        <v>120</v>
      </c>
      <c r="AF59" s="826">
        <f t="shared" si="4"/>
        <v>-13</v>
      </c>
      <c r="AG59" s="50"/>
    </row>
    <row r="60" spans="2:33">
      <c r="B60" s="32"/>
      <c r="C60" s="17"/>
      <c r="D60" s="2173">
        <f t="shared" ref="D60" si="5">COUNT(D37:D58)</f>
        <v>15</v>
      </c>
      <c r="E60" s="1837"/>
      <c r="F60" s="2150"/>
      <c r="G60" s="2173">
        <f t="shared" ref="G60:V60" si="6">COUNT(G37:G58)</f>
        <v>12</v>
      </c>
      <c r="H60" s="1837"/>
      <c r="I60" s="2150"/>
      <c r="J60" s="2173">
        <f t="shared" si="6"/>
        <v>12</v>
      </c>
      <c r="K60" s="1837"/>
      <c r="L60" s="2150"/>
      <c r="M60" s="2173">
        <f t="shared" si="6"/>
        <v>15</v>
      </c>
      <c r="N60" s="1837"/>
      <c r="O60" s="2150"/>
      <c r="P60" s="2077">
        <f t="shared" si="6"/>
        <v>16</v>
      </c>
      <c r="Q60" s="1829"/>
      <c r="R60" s="1852"/>
      <c r="S60" s="2077">
        <f t="shared" si="6"/>
        <v>19</v>
      </c>
      <c r="T60" s="1829"/>
      <c r="U60" s="1852"/>
      <c r="V60" s="2077">
        <f t="shared" si="6"/>
        <v>14</v>
      </c>
      <c r="W60" s="1829"/>
      <c r="X60" s="1852"/>
      <c r="Y60" s="23"/>
      <c r="Z60" s="23"/>
      <c r="AA60" s="17"/>
      <c r="AB60" s="17"/>
      <c r="AC60" s="1447" t="s">
        <v>240</v>
      </c>
      <c r="AD60" s="439">
        <f>Y30+Y60+Y90+Y117+Y147+Y174</f>
        <v>69</v>
      </c>
      <c r="AE60" s="439">
        <v>55</v>
      </c>
      <c r="AF60" s="1454">
        <f t="shared" si="4"/>
        <v>-14</v>
      </c>
      <c r="AG60" s="50"/>
    </row>
    <row r="61" spans="2:33"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AB61" s="17"/>
      <c r="AC61" s="17"/>
      <c r="AD61" s="23"/>
      <c r="AE61" s="23"/>
      <c r="AF61" s="17"/>
      <c r="AG61" s="50"/>
    </row>
    <row r="62" spans="2:33">
      <c r="C62" s="50"/>
      <c r="D62" s="2132"/>
      <c r="E62" s="2249"/>
      <c r="F62" s="2250"/>
      <c r="G62" s="2251"/>
      <c r="H62" s="2126"/>
      <c r="I62" s="2126"/>
      <c r="J62" s="2126"/>
      <c r="K62" s="2126"/>
      <c r="L62" s="2126"/>
      <c r="M62" s="2126"/>
      <c r="N62" s="2126"/>
      <c r="O62" s="2126"/>
      <c r="P62" s="840"/>
      <c r="Q62" s="50"/>
      <c r="R62" s="50"/>
      <c r="S62" s="50"/>
      <c r="T62" s="50"/>
      <c r="U62" s="50"/>
      <c r="V62" s="50"/>
      <c r="W62" s="50"/>
      <c r="X62" s="50"/>
      <c r="Y62" s="50"/>
      <c r="AB62" s="17"/>
      <c r="AC62" s="17"/>
      <c r="AD62" s="17"/>
      <c r="AE62" s="17"/>
      <c r="AF62" s="17"/>
      <c r="AG62" s="50"/>
    </row>
    <row r="63" spans="2:33" ht="15" customHeight="1">
      <c r="B63" s="1817" t="str">
        <f>B34</f>
        <v>MARZO</v>
      </c>
      <c r="C63" s="1817"/>
      <c r="D63" s="1957"/>
      <c r="E63" s="1958"/>
      <c r="F63" s="1959"/>
      <c r="G63" s="1088"/>
      <c r="H63" s="1088"/>
      <c r="I63" s="1088"/>
      <c r="J63" s="2044"/>
      <c r="K63" s="2045"/>
      <c r="L63" s="2045"/>
      <c r="M63" s="2045"/>
      <c r="N63" s="2045"/>
      <c r="O63" s="2045"/>
      <c r="P63" s="2130"/>
      <c r="Q63" s="2130"/>
      <c r="R63" s="2131"/>
      <c r="S63" s="1104"/>
      <c r="T63" s="1104"/>
      <c r="U63" s="1104"/>
      <c r="V63" s="1089"/>
      <c r="W63" s="1089"/>
      <c r="X63" s="1089"/>
      <c r="Y63" s="50"/>
      <c r="Z63" s="50"/>
      <c r="AA63" s="47"/>
      <c r="AB63" s="17"/>
      <c r="AC63" s="17"/>
      <c r="AD63" s="17"/>
      <c r="AE63" s="17"/>
      <c r="AF63" s="17"/>
      <c r="AG63" s="50"/>
    </row>
    <row r="64" spans="2:33" ht="15" customHeight="1">
      <c r="B64" s="1817"/>
      <c r="C64" s="1817"/>
      <c r="D64" s="2200" t="s">
        <v>241</v>
      </c>
      <c r="E64" s="2201"/>
      <c r="F64" s="2202"/>
      <c r="G64" s="1954" t="s">
        <v>94</v>
      </c>
      <c r="H64" s="1955"/>
      <c r="I64" s="1956"/>
      <c r="J64" s="2203" t="s">
        <v>242</v>
      </c>
      <c r="K64" s="2059"/>
      <c r="L64" s="2204"/>
      <c r="M64" s="2203" t="s">
        <v>242</v>
      </c>
      <c r="N64" s="2059"/>
      <c r="O64" s="2204"/>
      <c r="P64" s="2059" t="s">
        <v>242</v>
      </c>
      <c r="Q64" s="2059"/>
      <c r="R64" s="2204"/>
      <c r="S64" s="2105" t="s">
        <v>146</v>
      </c>
      <c r="T64" s="2105"/>
      <c r="U64" s="2105"/>
      <c r="V64" s="1874"/>
      <c r="W64" s="1875"/>
      <c r="X64" s="1876"/>
      <c r="Y64" s="50"/>
      <c r="Z64" s="50"/>
      <c r="AA64" s="47"/>
      <c r="AB64" s="17"/>
      <c r="AC64" s="17"/>
      <c r="AD64" s="17"/>
      <c r="AE64" s="17"/>
      <c r="AF64" s="17"/>
    </row>
    <row r="65" spans="2:32" ht="33" customHeight="1">
      <c r="B65" s="1818"/>
      <c r="C65" s="1818"/>
      <c r="D65" s="2197" t="s">
        <v>243</v>
      </c>
      <c r="E65" s="2198"/>
      <c r="F65" s="2199"/>
      <c r="G65" s="2051"/>
      <c r="H65" s="2052"/>
      <c r="I65" s="2053"/>
      <c r="J65" s="2205"/>
      <c r="K65" s="2206"/>
      <c r="L65" s="2207"/>
      <c r="M65" s="2205"/>
      <c r="N65" s="2206"/>
      <c r="O65" s="2207"/>
      <c r="P65" s="2206"/>
      <c r="Q65" s="2206"/>
      <c r="R65" s="2207"/>
      <c r="S65" s="2108"/>
      <c r="T65" s="2108"/>
      <c r="U65" s="2108"/>
      <c r="V65" s="2016"/>
      <c r="W65" s="2015"/>
      <c r="X65" s="2017"/>
      <c r="Y65" s="17"/>
      <c r="Z65" s="17"/>
      <c r="AA65" s="17"/>
      <c r="AB65" s="17"/>
      <c r="AC65" s="17"/>
      <c r="AD65" s="17"/>
      <c r="AE65" s="17"/>
      <c r="AF65" s="17"/>
    </row>
    <row r="66" spans="2:32" ht="15" customHeight="1">
      <c r="B66" s="19" t="s">
        <v>1</v>
      </c>
      <c r="C66" s="19" t="s">
        <v>2</v>
      </c>
      <c r="D66" s="1836" t="s">
        <v>197</v>
      </c>
      <c r="E66" s="1837"/>
      <c r="F66" s="1838"/>
      <c r="G66" s="1921" t="s">
        <v>198</v>
      </c>
      <c r="H66" s="1922"/>
      <c r="I66" s="2168"/>
      <c r="J66" s="1921" t="s">
        <v>199</v>
      </c>
      <c r="K66" s="1922"/>
      <c r="L66" s="2168"/>
      <c r="M66" s="1836" t="s">
        <v>200</v>
      </c>
      <c r="N66" s="1837"/>
      <c r="O66" s="1838"/>
      <c r="P66" s="1881" t="s">
        <v>201</v>
      </c>
      <c r="Q66" s="1881"/>
      <c r="R66" s="1881"/>
      <c r="S66" s="1880" t="s">
        <v>202</v>
      </c>
      <c r="T66" s="1881"/>
      <c r="U66" s="1881"/>
      <c r="V66" s="1867" t="s">
        <v>203</v>
      </c>
      <c r="W66" s="1868"/>
      <c r="X66" s="1868"/>
      <c r="Y66" s="19" t="s">
        <v>5</v>
      </c>
      <c r="Z66" s="19" t="s">
        <v>6</v>
      </c>
      <c r="AA66" s="18" t="s">
        <v>7</v>
      </c>
      <c r="AB66" s="17"/>
      <c r="AC66" s="17"/>
      <c r="AD66" s="17"/>
      <c r="AE66" s="17"/>
      <c r="AF66" s="17"/>
    </row>
    <row r="67" spans="2:32">
      <c r="B67" s="1952" t="s">
        <v>8</v>
      </c>
      <c r="C67" s="925" t="s">
        <v>9</v>
      </c>
      <c r="D67" s="1158">
        <v>10.5</v>
      </c>
      <c r="E67" s="1159">
        <v>20.5</v>
      </c>
      <c r="F67" s="1160">
        <v>1</v>
      </c>
      <c r="G67" s="249"/>
      <c r="H67" s="250"/>
      <c r="I67" s="263"/>
      <c r="J67" s="632">
        <v>7</v>
      </c>
      <c r="K67" s="633">
        <v>16</v>
      </c>
      <c r="L67" s="862">
        <v>1</v>
      </c>
      <c r="M67" s="1461">
        <v>10.5</v>
      </c>
      <c r="N67" s="1462">
        <v>20.5</v>
      </c>
      <c r="O67" s="1476">
        <v>1</v>
      </c>
      <c r="P67" s="1481">
        <v>10.5</v>
      </c>
      <c r="Q67" s="1257">
        <v>20.5</v>
      </c>
      <c r="R67" s="1258">
        <v>1</v>
      </c>
      <c r="S67" s="1421">
        <v>13</v>
      </c>
      <c r="T67" s="1422">
        <v>23</v>
      </c>
      <c r="U67" s="1423">
        <v>1</v>
      </c>
      <c r="V67" s="1191"/>
      <c r="W67" s="683"/>
      <c r="X67" s="911"/>
      <c r="Y67" s="441">
        <f t="shared" ref="Y67:Y89" si="7">SUM(E67-D67-F67+H67-G67-I67+K67-J67-L67+N67-M67-O67+Q67-P67-R67+T67-S67-U67+W67-V67-X67)</f>
        <v>44</v>
      </c>
      <c r="Z67" s="365"/>
      <c r="AA67" s="368"/>
      <c r="AB67" s="17"/>
      <c r="AC67" s="17"/>
      <c r="AD67" s="17"/>
      <c r="AE67" s="17"/>
      <c r="AF67" s="17"/>
    </row>
    <row r="68" spans="2:32">
      <c r="B68" s="1953"/>
      <c r="C68" s="925" t="s">
        <v>238</v>
      </c>
      <c r="D68" s="1161">
        <v>10.5</v>
      </c>
      <c r="E68" s="1162">
        <v>20.5</v>
      </c>
      <c r="F68" s="1163">
        <v>1</v>
      </c>
      <c r="G68" s="1472"/>
      <c r="H68" s="1473"/>
      <c r="I68" s="1474"/>
      <c r="J68" s="1415"/>
      <c r="K68" s="1411"/>
      <c r="L68" s="1417"/>
      <c r="M68" s="1416"/>
      <c r="N68" s="1412"/>
      <c r="O68" s="1477"/>
      <c r="P68" s="1482"/>
      <c r="Q68" s="1413"/>
      <c r="R68" s="1420"/>
      <c r="S68" s="1418"/>
      <c r="T68" s="1413"/>
      <c r="U68" s="1419"/>
      <c r="V68" s="1407"/>
      <c r="W68" s="1408"/>
      <c r="X68" s="1409"/>
      <c r="Y68" s="21">
        <f t="shared" si="7"/>
        <v>9</v>
      </c>
      <c r="Z68" s="362"/>
      <c r="AA68" s="6"/>
      <c r="AB68" s="17"/>
      <c r="AC68" s="17"/>
      <c r="AD68" s="17"/>
      <c r="AE68" s="17"/>
      <c r="AF68" s="17"/>
    </row>
    <row r="69" spans="2:32" ht="15">
      <c r="B69" s="2004" t="s">
        <v>11</v>
      </c>
      <c r="C69" s="1315" t="s">
        <v>51</v>
      </c>
      <c r="D69" s="1158">
        <v>10.5</v>
      </c>
      <c r="E69" s="1159">
        <v>20.5</v>
      </c>
      <c r="F69" s="1160">
        <v>1</v>
      </c>
      <c r="G69" s="731">
        <v>7</v>
      </c>
      <c r="H69" s="692">
        <v>16</v>
      </c>
      <c r="I69" s="698">
        <v>1</v>
      </c>
      <c r="J69" s="586"/>
      <c r="K69" s="570"/>
      <c r="L69" s="592"/>
      <c r="M69" s="1461">
        <v>10.5</v>
      </c>
      <c r="N69" s="1462">
        <v>20.5</v>
      </c>
      <c r="O69" s="1476">
        <v>1</v>
      </c>
      <c r="P69" s="445"/>
      <c r="Q69" s="250"/>
      <c r="R69" s="263"/>
      <c r="S69" s="1421">
        <v>13</v>
      </c>
      <c r="T69" s="1422">
        <v>23</v>
      </c>
      <c r="U69" s="1423">
        <v>1</v>
      </c>
      <c r="V69" s="1410">
        <v>10</v>
      </c>
      <c r="W69" s="1252">
        <v>20</v>
      </c>
      <c r="X69" s="1445">
        <v>1</v>
      </c>
      <c r="Y69" s="2">
        <f t="shared" si="7"/>
        <v>44</v>
      </c>
      <c r="Z69" s="457"/>
      <c r="AA69" s="6"/>
      <c r="AB69" s="17"/>
      <c r="AC69" s="859"/>
      <c r="AD69" s="17"/>
      <c r="AE69" s="17"/>
      <c r="AF69" s="17"/>
    </row>
    <row r="70" spans="2:32" ht="15">
      <c r="B70" s="2191"/>
      <c r="C70" s="1234" t="s">
        <v>14</v>
      </c>
      <c r="D70" s="193"/>
      <c r="E70" s="194"/>
      <c r="F70" s="195"/>
      <c r="G70" s="85">
        <v>11.5</v>
      </c>
      <c r="H70" s="86">
        <v>20.5</v>
      </c>
      <c r="I70" s="87">
        <v>1</v>
      </c>
      <c r="J70" s="407">
        <v>10.5</v>
      </c>
      <c r="K70" s="196">
        <v>20.5</v>
      </c>
      <c r="L70" s="408">
        <v>1</v>
      </c>
      <c r="M70" s="355"/>
      <c r="N70" s="346"/>
      <c r="O70" s="661"/>
      <c r="P70" s="1483">
        <v>10.5</v>
      </c>
      <c r="Q70" s="742">
        <v>20.5</v>
      </c>
      <c r="R70" s="743">
        <v>1</v>
      </c>
      <c r="S70" s="761">
        <v>13</v>
      </c>
      <c r="T70" s="762">
        <v>23</v>
      </c>
      <c r="U70" s="1424">
        <v>1</v>
      </c>
      <c r="V70" s="1294">
        <v>10</v>
      </c>
      <c r="W70" s="745">
        <v>20</v>
      </c>
      <c r="X70" s="755">
        <v>1</v>
      </c>
      <c r="Y70" s="525">
        <f t="shared" si="7"/>
        <v>44</v>
      </c>
      <c r="Z70" s="457"/>
      <c r="AA70" s="6"/>
      <c r="AB70" s="17"/>
      <c r="AC70" s="859"/>
      <c r="AD70" s="17"/>
      <c r="AE70" s="17"/>
      <c r="AF70" s="17"/>
    </row>
    <row r="71" spans="2:32">
      <c r="B71" s="2192"/>
      <c r="C71" s="1135" t="s">
        <v>28</v>
      </c>
      <c r="D71" s="276"/>
      <c r="E71" s="277"/>
      <c r="F71" s="278"/>
      <c r="G71" s="593"/>
      <c r="H71" s="576"/>
      <c r="I71" s="1475"/>
      <c r="J71" s="574"/>
      <c r="K71" s="575"/>
      <c r="L71" s="588"/>
      <c r="M71" s="1112">
        <v>7</v>
      </c>
      <c r="N71" s="1113">
        <v>16</v>
      </c>
      <c r="O71" s="1478">
        <v>1</v>
      </c>
      <c r="P71" s="100">
        <v>10.5</v>
      </c>
      <c r="Q71" s="101">
        <v>20.5</v>
      </c>
      <c r="R71" s="102">
        <v>1</v>
      </c>
      <c r="S71" s="1421">
        <v>13</v>
      </c>
      <c r="T71" s="1422">
        <v>23</v>
      </c>
      <c r="U71" s="1423">
        <v>1</v>
      </c>
      <c r="V71" s="1410">
        <v>10</v>
      </c>
      <c r="W71" s="1252">
        <v>20</v>
      </c>
      <c r="X71" s="1445">
        <v>1</v>
      </c>
      <c r="Y71" s="525">
        <f t="shared" si="7"/>
        <v>35</v>
      </c>
      <c r="Z71" s="500"/>
      <c r="AA71" s="369"/>
      <c r="AB71" s="17"/>
      <c r="AC71" s="17"/>
      <c r="AD71" s="17"/>
      <c r="AE71" s="17"/>
      <c r="AF71" s="17"/>
    </row>
    <row r="72" spans="2:32" ht="15" customHeight="1">
      <c r="B72" s="2192"/>
      <c r="C72" s="1135" t="s">
        <v>21</v>
      </c>
      <c r="D72" s="746">
        <v>10.5</v>
      </c>
      <c r="E72" s="747">
        <v>20.5</v>
      </c>
      <c r="F72" s="748">
        <v>1</v>
      </c>
      <c r="G72" s="73">
        <v>10.5</v>
      </c>
      <c r="H72" s="74">
        <v>20.5</v>
      </c>
      <c r="I72" s="75">
        <v>1</v>
      </c>
      <c r="J72" s="262"/>
      <c r="K72" s="171"/>
      <c r="L72" s="172"/>
      <c r="M72" s="76">
        <v>10.5</v>
      </c>
      <c r="N72" s="77">
        <v>20.5</v>
      </c>
      <c r="O72" s="504">
        <v>1</v>
      </c>
      <c r="P72" s="1484">
        <v>10.5</v>
      </c>
      <c r="Q72" s="613">
        <v>20.5</v>
      </c>
      <c r="R72" s="614">
        <v>1</v>
      </c>
      <c r="S72" s="316">
        <v>7</v>
      </c>
      <c r="T72" s="317">
        <v>17</v>
      </c>
      <c r="U72" s="638">
        <v>1</v>
      </c>
      <c r="V72" s="1191"/>
      <c r="W72" s="683"/>
      <c r="X72" s="684"/>
      <c r="Y72" s="525">
        <f t="shared" si="7"/>
        <v>45</v>
      </c>
      <c r="Z72" s="529"/>
      <c r="AA72" s="5"/>
      <c r="AB72" s="17"/>
      <c r="AC72" s="17"/>
      <c r="AD72" s="17"/>
      <c r="AE72" s="17"/>
      <c r="AF72" s="17"/>
    </row>
    <row r="73" spans="2:32">
      <c r="B73" s="2049"/>
      <c r="C73" s="205" t="s">
        <v>53</v>
      </c>
      <c r="D73" s="738">
        <v>10.5</v>
      </c>
      <c r="E73" s="739">
        <v>20.5</v>
      </c>
      <c r="F73" s="740">
        <v>1</v>
      </c>
      <c r="G73" s="209"/>
      <c r="H73" s="210"/>
      <c r="I73" s="261"/>
      <c r="J73" s="1285">
        <v>10.5</v>
      </c>
      <c r="K73" s="947">
        <v>20.5</v>
      </c>
      <c r="L73" s="948">
        <v>1</v>
      </c>
      <c r="M73" s="209"/>
      <c r="N73" s="210"/>
      <c r="O73" s="416"/>
      <c r="P73" s="1485">
        <v>7</v>
      </c>
      <c r="Q73" s="653">
        <v>16</v>
      </c>
      <c r="R73" s="654">
        <v>1</v>
      </c>
      <c r="S73" s="741">
        <v>9</v>
      </c>
      <c r="T73" s="742">
        <v>19</v>
      </c>
      <c r="U73" s="1293">
        <v>1</v>
      </c>
      <c r="V73" s="422">
        <v>10</v>
      </c>
      <c r="W73" s="92">
        <v>20</v>
      </c>
      <c r="X73" s="118">
        <v>1</v>
      </c>
      <c r="Y73" s="525">
        <f t="shared" si="7"/>
        <v>44</v>
      </c>
      <c r="Z73" s="457"/>
      <c r="AA73" s="6"/>
      <c r="AB73" s="17"/>
      <c r="AC73" s="17"/>
      <c r="AD73" s="17"/>
      <c r="AE73" s="17"/>
      <c r="AF73" s="17"/>
    </row>
    <row r="74" spans="2:32">
      <c r="B74" s="1830" t="s">
        <v>171</v>
      </c>
      <c r="C74" s="1111" t="s">
        <v>25</v>
      </c>
      <c r="D74" s="1187">
        <v>10.5</v>
      </c>
      <c r="E74" s="1182">
        <v>20.5</v>
      </c>
      <c r="F74" s="137">
        <v>1</v>
      </c>
      <c r="G74" s="249"/>
      <c r="H74" s="250"/>
      <c r="I74" s="263"/>
      <c r="J74" s="632">
        <v>7</v>
      </c>
      <c r="K74" s="633">
        <v>16</v>
      </c>
      <c r="L74" s="862">
        <v>1</v>
      </c>
      <c r="M74" s="276"/>
      <c r="N74" s="277"/>
      <c r="O74" s="446"/>
      <c r="P74" s="1481">
        <v>10.5</v>
      </c>
      <c r="Q74" s="1257">
        <v>20.5</v>
      </c>
      <c r="R74" s="1258">
        <v>1</v>
      </c>
      <c r="S74" s="240">
        <v>10</v>
      </c>
      <c r="T74" s="101">
        <v>20</v>
      </c>
      <c r="U74" s="138">
        <v>1</v>
      </c>
      <c r="V74" s="1247">
        <v>10</v>
      </c>
      <c r="W74" s="410">
        <v>20</v>
      </c>
      <c r="X74" s="420">
        <v>1</v>
      </c>
      <c r="Y74" s="298">
        <f t="shared" si="7"/>
        <v>44</v>
      </c>
      <c r="Z74" s="458"/>
      <c r="AA74" s="14"/>
      <c r="AB74" s="17"/>
      <c r="AC74" s="17"/>
      <c r="AD74" s="17"/>
      <c r="AE74" s="17"/>
      <c r="AF74" s="17"/>
    </row>
    <row r="75" spans="2:32">
      <c r="B75" s="1831"/>
      <c r="C75" s="695" t="s">
        <v>27</v>
      </c>
      <c r="D75" s="262"/>
      <c r="E75" s="171"/>
      <c r="F75" s="172"/>
      <c r="G75" s="746">
        <v>10.5</v>
      </c>
      <c r="H75" s="747">
        <v>20.5</v>
      </c>
      <c r="I75" s="748">
        <v>1</v>
      </c>
      <c r="J75" s="424"/>
      <c r="K75" s="198"/>
      <c r="L75" s="431"/>
      <c r="M75" s="76">
        <v>10.5</v>
      </c>
      <c r="N75" s="77">
        <v>20.5</v>
      </c>
      <c r="O75" s="504">
        <v>1</v>
      </c>
      <c r="P75" s="1486">
        <v>10.5</v>
      </c>
      <c r="Q75" s="750">
        <v>20.5</v>
      </c>
      <c r="R75" s="751">
        <v>1</v>
      </c>
      <c r="S75" s="76">
        <v>10.5</v>
      </c>
      <c r="T75" s="77">
        <v>20.5</v>
      </c>
      <c r="U75" s="504">
        <v>1</v>
      </c>
      <c r="V75" s="1297">
        <v>10</v>
      </c>
      <c r="W75" s="1279">
        <v>20</v>
      </c>
      <c r="X75" s="1280">
        <v>1</v>
      </c>
      <c r="Y75" s="529">
        <f t="shared" si="7"/>
        <v>45</v>
      </c>
      <c r="Z75" s="2"/>
      <c r="AA75" s="268"/>
      <c r="AB75" s="17"/>
      <c r="AC75" s="17"/>
      <c r="AD75" s="17"/>
      <c r="AE75" s="17"/>
      <c r="AF75" s="17"/>
    </row>
    <row r="76" spans="2:32">
      <c r="B76" s="1831"/>
      <c r="C76" s="695" t="s">
        <v>31</v>
      </c>
      <c r="D76" s="749">
        <v>10.5</v>
      </c>
      <c r="E76" s="750">
        <v>20.5</v>
      </c>
      <c r="F76" s="751">
        <v>1</v>
      </c>
      <c r="G76" s="676">
        <v>7</v>
      </c>
      <c r="H76" s="666">
        <v>16</v>
      </c>
      <c r="I76" s="667">
        <v>1</v>
      </c>
      <c r="J76" s="73">
        <v>10.5</v>
      </c>
      <c r="K76" s="74">
        <v>20.5</v>
      </c>
      <c r="L76" s="75">
        <v>1</v>
      </c>
      <c r="M76" s="225"/>
      <c r="N76" s="226"/>
      <c r="O76" s="430"/>
      <c r="P76" s="1484">
        <v>10.5</v>
      </c>
      <c r="Q76" s="613">
        <v>20.5</v>
      </c>
      <c r="R76" s="614">
        <v>1</v>
      </c>
      <c r="S76" s="1186">
        <v>13</v>
      </c>
      <c r="T76" s="1166">
        <v>23</v>
      </c>
      <c r="U76" s="1425">
        <v>1</v>
      </c>
      <c r="V76" s="559"/>
      <c r="W76" s="174"/>
      <c r="X76" s="175"/>
      <c r="Y76" s="457">
        <f t="shared" si="7"/>
        <v>44</v>
      </c>
      <c r="Z76" s="297"/>
      <c r="AA76" s="55"/>
      <c r="AB76" s="17"/>
      <c r="AC76" s="17"/>
      <c r="AD76" s="17" t="s">
        <v>69</v>
      </c>
      <c r="AE76" s="17"/>
      <c r="AF76" s="17"/>
    </row>
    <row r="77" spans="2:32">
      <c r="B77" s="1831"/>
      <c r="C77" s="695" t="s">
        <v>55</v>
      </c>
      <c r="D77" s="316">
        <v>7</v>
      </c>
      <c r="E77" s="317">
        <v>16</v>
      </c>
      <c r="F77" s="318">
        <v>1</v>
      </c>
      <c r="G77" s="262"/>
      <c r="H77" s="171"/>
      <c r="I77" s="172"/>
      <c r="J77" s="76">
        <v>10.5</v>
      </c>
      <c r="K77" s="77">
        <v>20.5</v>
      </c>
      <c r="L77" s="78">
        <v>1</v>
      </c>
      <c r="M77" s="76">
        <v>10.5</v>
      </c>
      <c r="N77" s="77">
        <v>20.5</v>
      </c>
      <c r="O77" s="504">
        <v>1</v>
      </c>
      <c r="P77" s="418"/>
      <c r="Q77" s="226"/>
      <c r="R77" s="248"/>
      <c r="S77" s="1186">
        <v>13</v>
      </c>
      <c r="T77" s="1166">
        <v>23</v>
      </c>
      <c r="U77" s="1425">
        <v>1</v>
      </c>
      <c r="V77" s="1034">
        <v>8</v>
      </c>
      <c r="W77" s="854">
        <v>18</v>
      </c>
      <c r="X77" s="1013">
        <v>1</v>
      </c>
      <c r="Y77" s="457">
        <f t="shared" si="7"/>
        <v>44</v>
      </c>
      <c r="Z77" s="297"/>
      <c r="AA77" s="55"/>
      <c r="AB77" s="17"/>
      <c r="AC77" s="17"/>
      <c r="AD77" s="17"/>
      <c r="AE77" s="17"/>
      <c r="AF77" s="17"/>
    </row>
    <row r="78" spans="2:32">
      <c r="B78" s="1831"/>
      <c r="C78" s="695" t="s">
        <v>172</v>
      </c>
      <c r="D78" s="262"/>
      <c r="E78" s="171"/>
      <c r="F78" s="172"/>
      <c r="G78" s="635">
        <v>7</v>
      </c>
      <c r="H78" s="636">
        <v>16</v>
      </c>
      <c r="I78" s="651">
        <v>1</v>
      </c>
      <c r="J78" s="424"/>
      <c r="K78" s="198"/>
      <c r="L78" s="431"/>
      <c r="M78" s="73">
        <v>10.5</v>
      </c>
      <c r="N78" s="74">
        <v>20.5</v>
      </c>
      <c r="O78" s="480">
        <v>1</v>
      </c>
      <c r="P78" s="1486">
        <v>10.5</v>
      </c>
      <c r="Q78" s="750">
        <v>20.5</v>
      </c>
      <c r="R78" s="751">
        <v>1</v>
      </c>
      <c r="S78" s="676">
        <v>7</v>
      </c>
      <c r="T78" s="666">
        <v>17</v>
      </c>
      <c r="U78" s="1189">
        <v>1</v>
      </c>
      <c r="V78" s="1295">
        <v>10</v>
      </c>
      <c r="W78" s="753">
        <v>20</v>
      </c>
      <c r="X78" s="1262">
        <v>1</v>
      </c>
      <c r="Y78" s="457">
        <f t="shared" si="7"/>
        <v>44</v>
      </c>
      <c r="Z78" s="297"/>
      <c r="AA78" s="55"/>
      <c r="AB78" s="17"/>
      <c r="AC78" s="17"/>
      <c r="AD78" s="17"/>
      <c r="AE78" s="17"/>
      <c r="AF78" s="17"/>
    </row>
    <row r="79" spans="2:32">
      <c r="B79" s="1831"/>
      <c r="C79" s="695" t="s">
        <v>87</v>
      </c>
      <c r="D79" s="746">
        <v>10.5</v>
      </c>
      <c r="E79" s="747">
        <v>20.5</v>
      </c>
      <c r="F79" s="748">
        <v>1</v>
      </c>
      <c r="G79" s="262"/>
      <c r="H79" s="171"/>
      <c r="I79" s="172"/>
      <c r="J79" s="749">
        <v>10.5</v>
      </c>
      <c r="K79" s="750">
        <v>20.5</v>
      </c>
      <c r="L79" s="751">
        <v>1</v>
      </c>
      <c r="M79" s="316">
        <v>7</v>
      </c>
      <c r="N79" s="317">
        <v>17</v>
      </c>
      <c r="O79" s="638">
        <v>1</v>
      </c>
      <c r="P79" s="1139">
        <v>7</v>
      </c>
      <c r="Q79" s="317">
        <v>16</v>
      </c>
      <c r="R79" s="318">
        <v>1</v>
      </c>
      <c r="S79" s="1500">
        <v>13</v>
      </c>
      <c r="T79" s="1501">
        <v>23</v>
      </c>
      <c r="U79" s="1502">
        <v>1</v>
      </c>
      <c r="V79" s="1503"/>
      <c r="W79" s="1504"/>
      <c r="X79" s="1505"/>
      <c r="Y79" s="457">
        <f t="shared" si="7"/>
        <v>44</v>
      </c>
      <c r="Z79" s="297"/>
      <c r="AA79" s="55"/>
      <c r="AB79" s="17"/>
      <c r="AC79" s="17"/>
      <c r="AD79" s="17"/>
      <c r="AE79" s="17"/>
      <c r="AF79" s="17"/>
    </row>
    <row r="80" spans="2:32">
      <c r="B80" s="1831"/>
      <c r="C80" s="695" t="s">
        <v>104</v>
      </c>
      <c r="D80" s="262"/>
      <c r="E80" s="171"/>
      <c r="F80" s="172"/>
      <c r="G80" s="746">
        <v>10.5</v>
      </c>
      <c r="H80" s="747">
        <v>20.5</v>
      </c>
      <c r="I80" s="748">
        <v>1</v>
      </c>
      <c r="J80" s="316">
        <v>7</v>
      </c>
      <c r="K80" s="317">
        <v>16</v>
      </c>
      <c r="L80" s="318">
        <v>1</v>
      </c>
      <c r="M80" s="262"/>
      <c r="N80" s="171"/>
      <c r="O80" s="324"/>
      <c r="P80" s="417">
        <v>10.5</v>
      </c>
      <c r="Q80" s="74">
        <v>20.5</v>
      </c>
      <c r="R80" s="75">
        <v>1</v>
      </c>
      <c r="S80" s="746">
        <v>10.5</v>
      </c>
      <c r="T80" s="747">
        <v>20.5</v>
      </c>
      <c r="U80" s="1261">
        <v>1</v>
      </c>
      <c r="V80" s="1034">
        <v>8</v>
      </c>
      <c r="W80" s="854">
        <v>18</v>
      </c>
      <c r="X80" s="1013">
        <v>1</v>
      </c>
      <c r="Y80" s="457">
        <f t="shared" si="7"/>
        <v>44</v>
      </c>
      <c r="Z80" s="297"/>
      <c r="AA80" s="55"/>
      <c r="AB80" s="17"/>
      <c r="AC80" s="17"/>
      <c r="AD80" s="17"/>
      <c r="AE80" s="17"/>
      <c r="AF80" s="17"/>
    </row>
    <row r="81" spans="1:32">
      <c r="B81" s="1831"/>
      <c r="C81" s="932" t="s">
        <v>187</v>
      </c>
      <c r="D81" s="273"/>
      <c r="E81" s="274"/>
      <c r="F81" s="275"/>
      <c r="G81" s="741">
        <v>10.5</v>
      </c>
      <c r="H81" s="742">
        <v>20.5</v>
      </c>
      <c r="I81" s="743">
        <v>1</v>
      </c>
      <c r="J81" s="211"/>
      <c r="K81" s="212"/>
      <c r="L81" s="213"/>
      <c r="M81" s="241">
        <v>11.5</v>
      </c>
      <c r="N81" s="238">
        <v>20.5</v>
      </c>
      <c r="O81" s="537">
        <v>1</v>
      </c>
      <c r="P81" s="1126">
        <v>7</v>
      </c>
      <c r="Q81" s="1127">
        <v>17</v>
      </c>
      <c r="R81" s="1128">
        <v>1</v>
      </c>
      <c r="S81" s="1426">
        <v>13</v>
      </c>
      <c r="T81" s="1427">
        <v>23</v>
      </c>
      <c r="U81" s="1428">
        <v>1</v>
      </c>
      <c r="V81" s="1296">
        <v>10</v>
      </c>
      <c r="W81" s="1271">
        <v>20</v>
      </c>
      <c r="X81" s="1272">
        <v>1</v>
      </c>
      <c r="Y81" s="457">
        <f t="shared" si="7"/>
        <v>44</v>
      </c>
      <c r="Z81" s="297"/>
      <c r="AA81" s="55"/>
      <c r="AB81" s="17"/>
      <c r="AC81" s="17"/>
      <c r="AD81" s="17"/>
      <c r="AE81" s="17"/>
      <c r="AF81" s="17"/>
    </row>
    <row r="82" spans="1:32">
      <c r="B82" s="1830" t="s">
        <v>116</v>
      </c>
      <c r="C82" s="694" t="s">
        <v>32</v>
      </c>
      <c r="D82" s="356"/>
      <c r="E82" s="323"/>
      <c r="F82" s="359"/>
      <c r="G82" s="1187">
        <v>16.5</v>
      </c>
      <c r="H82" s="1182">
        <v>20.5</v>
      </c>
      <c r="I82" s="1256"/>
      <c r="J82" s="292">
        <v>12.5</v>
      </c>
      <c r="K82" s="293">
        <v>20.5</v>
      </c>
      <c r="L82" s="294">
        <v>1</v>
      </c>
      <c r="M82" s="356"/>
      <c r="N82" s="323"/>
      <c r="O82" s="768"/>
      <c r="P82" s="414"/>
      <c r="Q82" s="166"/>
      <c r="R82" s="167"/>
      <c r="S82" s="65">
        <v>12.5</v>
      </c>
      <c r="T82" s="66">
        <v>20.5</v>
      </c>
      <c r="U82" s="68">
        <v>1</v>
      </c>
      <c r="V82" s="1297">
        <v>12</v>
      </c>
      <c r="W82" s="1279">
        <v>20</v>
      </c>
      <c r="X82" s="1279">
        <v>1</v>
      </c>
      <c r="Y82" s="364">
        <f t="shared" si="7"/>
        <v>25</v>
      </c>
      <c r="Z82" s="298"/>
      <c r="AA82" s="269"/>
      <c r="AB82" s="17"/>
      <c r="AC82" s="17"/>
      <c r="AD82" s="17"/>
      <c r="AE82" s="17"/>
      <c r="AF82" s="17"/>
    </row>
    <row r="83" spans="1:32">
      <c r="A83" s="50"/>
      <c r="B83" s="1831"/>
      <c r="C83" s="695" t="s">
        <v>89</v>
      </c>
      <c r="D83" s="746">
        <v>13.5</v>
      </c>
      <c r="E83" s="747">
        <v>20.5</v>
      </c>
      <c r="F83" s="748">
        <v>1</v>
      </c>
      <c r="G83" s="749">
        <v>16.5</v>
      </c>
      <c r="H83" s="750">
        <v>20.5</v>
      </c>
      <c r="I83" s="751"/>
      <c r="J83" s="424"/>
      <c r="K83" s="198"/>
      <c r="L83" s="431"/>
      <c r="M83" s="225"/>
      <c r="N83" s="226"/>
      <c r="O83" s="430"/>
      <c r="P83" s="1486">
        <v>16.5</v>
      </c>
      <c r="Q83" s="750">
        <v>20.5</v>
      </c>
      <c r="R83" s="751"/>
      <c r="S83" s="749">
        <v>10</v>
      </c>
      <c r="T83" s="750">
        <v>19</v>
      </c>
      <c r="U83" s="1283">
        <v>1</v>
      </c>
      <c r="V83" s="1034">
        <v>8</v>
      </c>
      <c r="W83" s="854">
        <v>16</v>
      </c>
      <c r="X83" s="854">
        <v>1</v>
      </c>
      <c r="Y83" s="735">
        <f t="shared" si="7"/>
        <v>29</v>
      </c>
      <c r="Z83" s="457"/>
      <c r="AA83" s="6"/>
      <c r="AB83" s="17"/>
      <c r="AC83" s="17"/>
      <c r="AD83" s="17"/>
      <c r="AE83" s="17"/>
      <c r="AF83" s="17"/>
    </row>
    <row r="84" spans="1:32">
      <c r="A84" s="50"/>
      <c r="B84" s="1831"/>
      <c r="C84" s="695" t="s">
        <v>239</v>
      </c>
      <c r="D84" s="225"/>
      <c r="E84" s="226"/>
      <c r="F84" s="248"/>
      <c r="G84" s="76">
        <v>13.5</v>
      </c>
      <c r="H84" s="77">
        <v>20.5</v>
      </c>
      <c r="I84" s="78">
        <v>1</v>
      </c>
      <c r="J84" s="850">
        <v>16.5</v>
      </c>
      <c r="K84" s="851">
        <v>20.5</v>
      </c>
      <c r="L84" s="1019"/>
      <c r="M84" s="316">
        <v>7</v>
      </c>
      <c r="N84" s="317">
        <v>12</v>
      </c>
      <c r="O84" s="638"/>
      <c r="P84" s="170"/>
      <c r="Q84" s="171"/>
      <c r="R84" s="172"/>
      <c r="S84" s="749">
        <v>14.5</v>
      </c>
      <c r="T84" s="750">
        <v>20.5</v>
      </c>
      <c r="U84" s="1283">
        <v>1</v>
      </c>
      <c r="V84" s="1295">
        <v>12</v>
      </c>
      <c r="W84" s="753">
        <v>20</v>
      </c>
      <c r="X84" s="745">
        <v>1</v>
      </c>
      <c r="Y84" s="735">
        <f t="shared" si="7"/>
        <v>27</v>
      </c>
      <c r="Z84" s="457"/>
      <c r="AA84" s="6"/>
      <c r="AB84" s="17"/>
      <c r="AC84" s="17"/>
      <c r="AD84" s="17"/>
      <c r="AE84" s="17"/>
      <c r="AF84" s="17"/>
    </row>
    <row r="85" spans="1:32">
      <c r="A85" s="50"/>
      <c r="B85" s="1831"/>
      <c r="C85" s="695" t="s">
        <v>188</v>
      </c>
      <c r="D85" s="746">
        <v>14.5</v>
      </c>
      <c r="E85" s="747">
        <v>20.5</v>
      </c>
      <c r="F85" s="748">
        <v>1</v>
      </c>
      <c r="G85" s="262"/>
      <c r="H85" s="171"/>
      <c r="I85" s="172"/>
      <c r="J85" s="424"/>
      <c r="K85" s="198"/>
      <c r="L85" s="431"/>
      <c r="M85" s="225"/>
      <c r="N85" s="226"/>
      <c r="O85" s="430"/>
      <c r="P85" s="1487">
        <v>7</v>
      </c>
      <c r="Q85" s="666">
        <v>12</v>
      </c>
      <c r="R85" s="667"/>
      <c r="S85" s="676">
        <v>7</v>
      </c>
      <c r="T85" s="666">
        <v>15</v>
      </c>
      <c r="U85" s="1189">
        <v>1</v>
      </c>
      <c r="V85" s="1297">
        <v>12</v>
      </c>
      <c r="W85" s="1286">
        <v>20</v>
      </c>
      <c r="X85" s="753">
        <v>1</v>
      </c>
      <c r="Y85" s="735">
        <f t="shared" si="7"/>
        <v>24</v>
      </c>
      <c r="Z85" s="457"/>
      <c r="AA85" s="6"/>
      <c r="AB85" s="17"/>
      <c r="AC85" s="17"/>
      <c r="AD85" s="17"/>
      <c r="AE85" s="17"/>
      <c r="AF85" s="17"/>
    </row>
    <row r="86" spans="1:32">
      <c r="A86" s="50"/>
      <c r="B86" s="1831"/>
      <c r="C86" s="695" t="s">
        <v>169</v>
      </c>
      <c r="D86" s="73">
        <v>16.5</v>
      </c>
      <c r="E86" s="74">
        <v>20.5</v>
      </c>
      <c r="F86" s="75"/>
      <c r="G86" s="225"/>
      <c r="H86" s="226"/>
      <c r="I86" s="248"/>
      <c r="J86" s="850">
        <v>16.5</v>
      </c>
      <c r="K86" s="851">
        <v>20.5</v>
      </c>
      <c r="L86" s="1019"/>
      <c r="M86" s="746">
        <v>16.5</v>
      </c>
      <c r="N86" s="747">
        <v>20.5</v>
      </c>
      <c r="O86" s="1261"/>
      <c r="P86" s="418"/>
      <c r="Q86" s="226"/>
      <c r="R86" s="248"/>
      <c r="S86" s="746">
        <v>10</v>
      </c>
      <c r="T86" s="747">
        <v>19</v>
      </c>
      <c r="U86" s="1261">
        <v>1</v>
      </c>
      <c r="V86" s="1295">
        <v>12</v>
      </c>
      <c r="W86" s="754">
        <v>20</v>
      </c>
      <c r="X86" s="753">
        <v>1</v>
      </c>
      <c r="Y86" s="735">
        <f t="shared" si="7"/>
        <v>27</v>
      </c>
      <c r="Z86" s="457"/>
      <c r="AA86" s="6"/>
      <c r="AB86" s="17"/>
      <c r="AC86" s="17"/>
      <c r="AD86" s="17"/>
      <c r="AE86" s="17"/>
      <c r="AF86" s="17"/>
    </row>
    <row r="87" spans="1:32">
      <c r="A87" s="50"/>
      <c r="B87" s="1831"/>
      <c r="C87" s="695" t="s">
        <v>117</v>
      </c>
      <c r="D87" s="850">
        <v>13.5</v>
      </c>
      <c r="E87" s="851">
        <v>20.5</v>
      </c>
      <c r="F87" s="1019">
        <v>1</v>
      </c>
      <c r="G87" s="225"/>
      <c r="H87" s="226"/>
      <c r="I87" s="248"/>
      <c r="J87" s="1471"/>
      <c r="K87" s="1470"/>
      <c r="L87" s="1480"/>
      <c r="M87" s="746">
        <v>16.5</v>
      </c>
      <c r="N87" s="747">
        <v>20.5</v>
      </c>
      <c r="O87" s="1261"/>
      <c r="P87" s="418"/>
      <c r="Q87" s="226"/>
      <c r="R87" s="248"/>
      <c r="S87" s="73">
        <v>13.5</v>
      </c>
      <c r="T87" s="74">
        <v>20.5</v>
      </c>
      <c r="U87" s="480">
        <v>1</v>
      </c>
      <c r="V87" s="1467">
        <v>8</v>
      </c>
      <c r="W87" s="1468">
        <v>16</v>
      </c>
      <c r="X87" s="1469">
        <v>1</v>
      </c>
      <c r="Y87" s="735">
        <f t="shared" si="7"/>
        <v>23</v>
      </c>
      <c r="Z87" s="457"/>
      <c r="AA87" s="6"/>
      <c r="AB87" s="17"/>
      <c r="AC87" s="17"/>
      <c r="AD87" s="17"/>
      <c r="AE87" s="17"/>
      <c r="AF87" s="17"/>
    </row>
    <row r="88" spans="1:32">
      <c r="A88" s="50"/>
      <c r="B88" s="1831"/>
      <c r="C88" s="695" t="s">
        <v>214</v>
      </c>
      <c r="D88" s="635">
        <v>7</v>
      </c>
      <c r="E88" s="636">
        <v>15</v>
      </c>
      <c r="F88" s="651">
        <v>1</v>
      </c>
      <c r="G88" s="424"/>
      <c r="H88" s="198"/>
      <c r="I88" s="431"/>
      <c r="J88" s="424"/>
      <c r="K88" s="198"/>
      <c r="L88" s="431"/>
      <c r="M88" s="606">
        <v>16.5</v>
      </c>
      <c r="N88" s="607">
        <v>20.5</v>
      </c>
      <c r="O88" s="608"/>
      <c r="P88" s="1284">
        <v>16.5</v>
      </c>
      <c r="Q88" s="851">
        <v>20.5</v>
      </c>
      <c r="R88" s="1019"/>
      <c r="S88" s="1432">
        <v>15</v>
      </c>
      <c r="T88" s="1433">
        <v>23</v>
      </c>
      <c r="U88" s="1463">
        <v>1</v>
      </c>
      <c r="V88" s="1295">
        <v>12</v>
      </c>
      <c r="W88" s="753">
        <v>20</v>
      </c>
      <c r="X88" s="1279">
        <v>1</v>
      </c>
      <c r="Y88" s="736">
        <f t="shared" si="7"/>
        <v>29</v>
      </c>
      <c r="Z88" s="500"/>
      <c r="AA88" s="369"/>
      <c r="AB88" s="17"/>
      <c r="AC88" s="17"/>
      <c r="AD88" s="17"/>
      <c r="AE88" s="17"/>
      <c r="AF88" s="17"/>
    </row>
    <row r="89" spans="1:32">
      <c r="A89" s="50"/>
      <c r="B89" s="1832"/>
      <c r="C89" s="561" t="s">
        <v>191</v>
      </c>
      <c r="D89" s="936"/>
      <c r="E89" s="937"/>
      <c r="F89" s="938"/>
      <c r="G89" s="847">
        <v>7</v>
      </c>
      <c r="H89" s="848">
        <v>15</v>
      </c>
      <c r="I89" s="1016">
        <v>1</v>
      </c>
      <c r="J89" s="1266">
        <v>13.5</v>
      </c>
      <c r="K89" s="1249">
        <v>20.5</v>
      </c>
      <c r="L89" s="1267">
        <v>1</v>
      </c>
      <c r="M89" s="1331"/>
      <c r="N89" s="1332"/>
      <c r="O89" s="1479"/>
      <c r="P89" s="945"/>
      <c r="Q89" s="937"/>
      <c r="R89" s="938"/>
      <c r="S89" s="1464">
        <v>14</v>
      </c>
      <c r="T89" s="1465">
        <v>23</v>
      </c>
      <c r="U89" s="1466">
        <v>1</v>
      </c>
      <c r="V89" s="1295">
        <v>12</v>
      </c>
      <c r="W89" s="753">
        <v>20</v>
      </c>
      <c r="X89" s="753">
        <v>1</v>
      </c>
      <c r="Y89" s="736">
        <f t="shared" si="7"/>
        <v>28</v>
      </c>
      <c r="Z89" s="23"/>
      <c r="AA89" s="17"/>
      <c r="AB89" s="17"/>
      <c r="AC89" s="17"/>
      <c r="AD89" s="17"/>
      <c r="AE89" s="17"/>
      <c r="AF89" s="17"/>
    </row>
    <row r="90" spans="1:32">
      <c r="B90" s="50"/>
      <c r="C90" s="50"/>
      <c r="D90" s="2173">
        <f t="shared" ref="D90" si="8">COUNT(D67:D89)</f>
        <v>14</v>
      </c>
      <c r="E90" s="1837"/>
      <c r="F90" s="2150"/>
      <c r="G90" s="2173">
        <f t="shared" ref="G90" si="9">COUNT(G67:G89)</f>
        <v>12</v>
      </c>
      <c r="H90" s="1837"/>
      <c r="I90" s="2150"/>
      <c r="J90" s="2173">
        <f>COUNT(J67:J89)</f>
        <v>12</v>
      </c>
      <c r="K90" s="1837"/>
      <c r="L90" s="2150"/>
      <c r="M90" s="2173">
        <f t="shared" ref="M90" si="10">COUNT(M67:M89)</f>
        <v>13</v>
      </c>
      <c r="N90" s="1837"/>
      <c r="O90" s="2150"/>
      <c r="P90" s="2077">
        <f t="shared" ref="P90" si="11">COUNT(P67:P89)</f>
        <v>15</v>
      </c>
      <c r="Q90" s="1829"/>
      <c r="R90" s="1852"/>
      <c r="S90" s="2077">
        <f t="shared" ref="S90" si="12">COUNT(S67:S89)</f>
        <v>22</v>
      </c>
      <c r="T90" s="1829"/>
      <c r="U90" s="1852"/>
      <c r="V90" s="2077">
        <f t="shared" ref="V90" si="13">COUNT(V67:V89)</f>
        <v>18</v>
      </c>
      <c r="W90" s="1829"/>
      <c r="X90" s="1852"/>
      <c r="Y90" s="23"/>
      <c r="Z90" s="23"/>
      <c r="AA90" s="17"/>
      <c r="AB90" s="17"/>
      <c r="AC90" s="17"/>
      <c r="AD90" s="17"/>
      <c r="AE90" s="17"/>
      <c r="AF90" s="17"/>
    </row>
    <row r="91" spans="1:32">
      <c r="D91" s="182"/>
      <c r="E91" s="182"/>
      <c r="F91" s="182"/>
      <c r="G91" s="182"/>
      <c r="H91" s="182"/>
      <c r="I91" s="182"/>
      <c r="J91" s="182"/>
      <c r="K91" s="182"/>
      <c r="L91" s="182"/>
      <c r="M91" s="182"/>
      <c r="N91" s="182"/>
      <c r="O91" s="182"/>
      <c r="P91" s="182"/>
      <c r="Q91" s="182"/>
      <c r="R91" s="182"/>
      <c r="S91" s="182"/>
      <c r="T91" s="182"/>
      <c r="U91" s="182"/>
      <c r="V91" s="182"/>
      <c r="W91" s="182"/>
      <c r="X91" s="182"/>
      <c r="Y91" s="23"/>
      <c r="Z91" s="23"/>
      <c r="AA91" s="17"/>
      <c r="AB91" s="17"/>
      <c r="AC91" s="17"/>
      <c r="AD91" s="17"/>
      <c r="AE91" s="17"/>
      <c r="AF91" s="17"/>
    </row>
    <row r="92" spans="1:32" ht="14.4">
      <c r="D92" s="182"/>
      <c r="E92" s="182"/>
      <c r="F92" s="182"/>
      <c r="G92" s="182"/>
      <c r="H92" s="182"/>
      <c r="I92" s="182"/>
      <c r="J92" s="2264"/>
      <c r="K92" s="2264"/>
      <c r="L92" s="2264"/>
      <c r="M92" s="182"/>
      <c r="N92" s="182"/>
      <c r="O92" s="182"/>
      <c r="P92" s="182"/>
      <c r="Q92" s="182"/>
      <c r="R92" s="182"/>
      <c r="S92" s="2261" t="s">
        <v>61</v>
      </c>
      <c r="T92" s="2262"/>
      <c r="U92" s="2263"/>
      <c r="V92" s="182"/>
      <c r="W92" s="182"/>
      <c r="X92" s="182"/>
      <c r="Y92" s="23"/>
      <c r="Z92" s="23"/>
      <c r="AA92" s="17"/>
      <c r="AB92" s="17"/>
      <c r="AC92" s="17"/>
      <c r="AD92" s="17"/>
      <c r="AE92" s="17"/>
      <c r="AF92" s="17"/>
    </row>
    <row r="93" spans="1:32" ht="15" customHeight="1">
      <c r="B93" s="1817" t="str">
        <f>B63</f>
        <v>MARZO</v>
      </c>
      <c r="C93" s="1817"/>
      <c r="D93" s="1954" t="s">
        <v>244</v>
      </c>
      <c r="E93" s="1955"/>
      <c r="F93" s="1956"/>
      <c r="G93" s="2063" t="s">
        <v>245</v>
      </c>
      <c r="H93" s="2064"/>
      <c r="I93" s="2065"/>
      <c r="J93" s="2252" t="s">
        <v>246</v>
      </c>
      <c r="K93" s="2253"/>
      <c r="L93" s="2254"/>
      <c r="M93" s="2255" t="s">
        <v>247</v>
      </c>
      <c r="N93" s="2256"/>
      <c r="O93" s="2257"/>
      <c r="P93" s="2151" t="s">
        <v>248</v>
      </c>
      <c r="Q93" s="2152"/>
      <c r="R93" s="2164"/>
      <c r="S93" s="2208" t="s">
        <v>249</v>
      </c>
      <c r="T93" s="2208"/>
      <c r="U93" s="2209"/>
      <c r="V93" s="1874"/>
      <c r="W93" s="1875"/>
      <c r="X93" s="1876"/>
      <c r="Y93" s="50"/>
      <c r="AA93" s="47"/>
      <c r="AB93" s="17"/>
      <c r="AC93" s="17"/>
      <c r="AD93" s="17"/>
      <c r="AE93" s="17"/>
      <c r="AF93" s="17"/>
    </row>
    <row r="94" spans="1:32" ht="15" customHeight="1">
      <c r="B94" s="1818"/>
      <c r="C94" s="1818"/>
      <c r="D94" s="2051"/>
      <c r="E94" s="2052"/>
      <c r="F94" s="2053"/>
      <c r="G94" s="2252" t="s">
        <v>250</v>
      </c>
      <c r="H94" s="2253"/>
      <c r="I94" s="2254"/>
      <c r="J94" s="2120" t="s">
        <v>60</v>
      </c>
      <c r="K94" s="2121"/>
      <c r="L94" s="2122"/>
      <c r="M94" s="2258"/>
      <c r="N94" s="2259"/>
      <c r="O94" s="2260"/>
      <c r="P94" s="1957"/>
      <c r="Q94" s="1958"/>
      <c r="R94" s="1959"/>
      <c r="S94" s="2210"/>
      <c r="T94" s="2208"/>
      <c r="U94" s="2209"/>
      <c r="V94" s="2016"/>
      <c r="W94" s="2015"/>
      <c r="X94" s="2017"/>
      <c r="Y94" s="17"/>
      <c r="Z94" s="17"/>
      <c r="AA94" s="17"/>
      <c r="AB94" s="17"/>
      <c r="AC94" s="17"/>
      <c r="AD94" s="17"/>
      <c r="AE94" s="17"/>
      <c r="AF94" s="17"/>
    </row>
    <row r="95" spans="1:32" ht="16.5" customHeight="1">
      <c r="B95" s="19" t="s">
        <v>1</v>
      </c>
      <c r="C95" s="19" t="s">
        <v>2</v>
      </c>
      <c r="D95" s="2214" t="s">
        <v>207</v>
      </c>
      <c r="E95" s="2215"/>
      <c r="F95" s="2216"/>
      <c r="G95" s="1921" t="s">
        <v>208</v>
      </c>
      <c r="H95" s="1922"/>
      <c r="I95" s="2168"/>
      <c r="J95" s="1921" t="s">
        <v>209</v>
      </c>
      <c r="K95" s="1922"/>
      <c r="L95" s="2168"/>
      <c r="M95" s="1836" t="s">
        <v>210</v>
      </c>
      <c r="N95" s="1837"/>
      <c r="O95" s="1838"/>
      <c r="P95" s="2113" t="s">
        <v>211</v>
      </c>
      <c r="Q95" s="2067"/>
      <c r="R95" s="2068"/>
      <c r="S95" s="2066" t="s">
        <v>212</v>
      </c>
      <c r="T95" s="2067"/>
      <c r="U95" s="2068"/>
      <c r="V95" s="2094" t="s">
        <v>213</v>
      </c>
      <c r="W95" s="2095"/>
      <c r="X95" s="2096"/>
      <c r="Y95" s="18" t="s">
        <v>5</v>
      </c>
      <c r="Z95" s="21" t="s">
        <v>6</v>
      </c>
      <c r="AA95" s="18" t="s">
        <v>7</v>
      </c>
      <c r="AB95" s="24"/>
      <c r="AC95" s="17"/>
      <c r="AD95" s="17"/>
      <c r="AE95" s="17"/>
      <c r="AF95" s="17"/>
    </row>
    <row r="96" spans="1:32" ht="16.5" customHeight="1">
      <c r="B96" s="1087" t="s">
        <v>8</v>
      </c>
      <c r="C96" s="925" t="s">
        <v>9</v>
      </c>
      <c r="D96" s="648">
        <v>7</v>
      </c>
      <c r="E96" s="649">
        <v>16</v>
      </c>
      <c r="F96" s="650">
        <v>1</v>
      </c>
      <c r="G96" s="907">
        <v>10.5</v>
      </c>
      <c r="H96" s="571">
        <v>20.5</v>
      </c>
      <c r="I96" s="587">
        <v>1</v>
      </c>
      <c r="J96" s="590"/>
      <c r="K96" s="572"/>
      <c r="L96" s="914"/>
      <c r="M96" s="907">
        <v>10.5</v>
      </c>
      <c r="N96" s="571">
        <v>20.5</v>
      </c>
      <c r="O96" s="587">
        <v>1</v>
      </c>
      <c r="P96" s="590"/>
      <c r="Q96" s="572"/>
      <c r="R96" s="914"/>
      <c r="S96" s="1298">
        <v>10.5</v>
      </c>
      <c r="T96" s="1299">
        <v>20.5</v>
      </c>
      <c r="U96" s="1491">
        <v>1</v>
      </c>
      <c r="V96" s="1410">
        <v>10</v>
      </c>
      <c r="W96" s="1252">
        <v>20</v>
      </c>
      <c r="X96" s="1445">
        <v>1</v>
      </c>
      <c r="Y96" s="18">
        <f t="shared" ref="Y96:Y117" si="14">SUM(E96-D96-F96+H96-G96-I96+K96-J96-L96+N96-M96-O96+Q96-P96-R96+T96-S96-U96+W96-V96-X96)</f>
        <v>44</v>
      </c>
      <c r="Z96" s="21"/>
      <c r="AA96" s="1492"/>
      <c r="AB96" s="24"/>
      <c r="AC96" s="17"/>
      <c r="AD96" s="17"/>
      <c r="AE96" s="17"/>
      <c r="AF96" s="17"/>
    </row>
    <row r="97" spans="1:32" ht="16.5" customHeight="1">
      <c r="B97" s="2004" t="s">
        <v>11</v>
      </c>
      <c r="C97" s="1315" t="s">
        <v>51</v>
      </c>
      <c r="D97" s="586"/>
      <c r="E97" s="570"/>
      <c r="F97" s="592"/>
      <c r="G97" s="953">
        <v>10.5</v>
      </c>
      <c r="H97" s="954">
        <v>20.5</v>
      </c>
      <c r="I97" s="1042">
        <v>1</v>
      </c>
      <c r="J97" s="292">
        <v>10.5</v>
      </c>
      <c r="K97" s="293">
        <v>20.5</v>
      </c>
      <c r="L97" s="294">
        <v>1</v>
      </c>
      <c r="M97" s="292">
        <v>10.5</v>
      </c>
      <c r="N97" s="293">
        <v>20.5</v>
      </c>
      <c r="O97" s="294">
        <v>1</v>
      </c>
      <c r="P97" s="632">
        <v>7</v>
      </c>
      <c r="Q97" s="633">
        <v>12</v>
      </c>
      <c r="R97" s="862"/>
      <c r="S97" s="586"/>
      <c r="T97" s="570"/>
      <c r="U97" s="890"/>
      <c r="V97" s="1191"/>
      <c r="W97" s="683"/>
      <c r="X97" s="684"/>
      <c r="Y97" s="2">
        <f t="shared" si="14"/>
        <v>32</v>
      </c>
      <c r="Z97" s="441"/>
      <c r="AA97" s="368"/>
      <c r="AB97" s="24"/>
      <c r="AC97" s="17"/>
      <c r="AD97" s="17"/>
      <c r="AE97" s="17"/>
      <c r="AF97" s="17"/>
    </row>
    <row r="98" spans="1:32" ht="16.5" customHeight="1">
      <c r="B98" s="2191"/>
      <c r="C98" s="205" t="s">
        <v>14</v>
      </c>
      <c r="D98" s="606">
        <v>10.5</v>
      </c>
      <c r="E98" s="607">
        <v>20.5</v>
      </c>
      <c r="F98" s="905">
        <v>1</v>
      </c>
      <c r="G98" s="1497">
        <v>8</v>
      </c>
      <c r="H98" s="1498">
        <v>17</v>
      </c>
      <c r="I98" s="1499">
        <v>1</v>
      </c>
      <c r="J98" s="936"/>
      <c r="K98" s="937"/>
      <c r="L98" s="938"/>
      <c r="M98" s="936"/>
      <c r="N98" s="937"/>
      <c r="O98" s="938"/>
      <c r="P98" s="606">
        <v>10.5</v>
      </c>
      <c r="Q98" s="607">
        <v>20.5</v>
      </c>
      <c r="R98" s="905">
        <v>1</v>
      </c>
      <c r="S98" s="1266">
        <v>10.5</v>
      </c>
      <c r="T98" s="1249">
        <v>20.5</v>
      </c>
      <c r="U98" s="1292">
        <v>1</v>
      </c>
      <c r="V98" s="1296">
        <v>10</v>
      </c>
      <c r="W98" s="1271">
        <v>20</v>
      </c>
      <c r="X98" s="1287">
        <v>1</v>
      </c>
      <c r="Y98" s="298">
        <f t="shared" si="14"/>
        <v>44</v>
      </c>
      <c r="Z98" s="500"/>
      <c r="AA98" s="369"/>
      <c r="AB98" s="24"/>
      <c r="AC98" s="17"/>
      <c r="AD98" s="17"/>
      <c r="AE98" s="17"/>
      <c r="AF98" s="17"/>
    </row>
    <row r="99" spans="1:32" ht="16.5" customHeight="1">
      <c r="B99" s="2192" t="s">
        <v>251</v>
      </c>
      <c r="C99" s="1030" t="s">
        <v>28</v>
      </c>
      <c r="D99" s="1085"/>
      <c r="E99" s="325"/>
      <c r="F99" s="870"/>
      <c r="G99" s="1493">
        <v>7</v>
      </c>
      <c r="H99" s="1494">
        <v>12</v>
      </c>
      <c r="I99" s="1495"/>
      <c r="J99" s="1289">
        <v>10.5</v>
      </c>
      <c r="K99" s="1290">
        <v>20.5</v>
      </c>
      <c r="L99" s="1291">
        <v>1</v>
      </c>
      <c r="M99" s="1091">
        <v>10.5</v>
      </c>
      <c r="N99" s="1092">
        <v>20.5</v>
      </c>
      <c r="O99" s="1094">
        <v>1</v>
      </c>
      <c r="P99" s="1289">
        <v>11.5</v>
      </c>
      <c r="Q99" s="1290">
        <v>20.5</v>
      </c>
      <c r="R99" s="1291">
        <v>1</v>
      </c>
      <c r="S99" s="1289">
        <v>10.5</v>
      </c>
      <c r="T99" s="1290">
        <v>20.5</v>
      </c>
      <c r="U99" s="1302">
        <v>1</v>
      </c>
      <c r="V99" s="1496"/>
      <c r="W99" s="169"/>
      <c r="X99" s="315"/>
      <c r="Y99" s="524">
        <f t="shared" si="14"/>
        <v>40</v>
      </c>
      <c r="Z99" s="529"/>
      <c r="AA99" s="5"/>
      <c r="AB99" s="24"/>
      <c r="AC99" s="17"/>
      <c r="AD99" s="17"/>
      <c r="AE99" s="17"/>
      <c r="AF99" s="17"/>
    </row>
    <row r="100" spans="1:32" ht="16.5" customHeight="1">
      <c r="B100" s="2192"/>
      <c r="C100" s="1135" t="s">
        <v>21</v>
      </c>
      <c r="D100" s="424"/>
      <c r="E100" s="198"/>
      <c r="F100" s="431"/>
      <c r="G100" s="850">
        <v>10.5</v>
      </c>
      <c r="H100" s="851">
        <v>20.5</v>
      </c>
      <c r="I100" s="1019">
        <v>1</v>
      </c>
      <c r="J100" s="424"/>
      <c r="K100" s="198"/>
      <c r="L100" s="431"/>
      <c r="M100" s="635">
        <v>7</v>
      </c>
      <c r="N100" s="636">
        <v>17</v>
      </c>
      <c r="O100" s="651">
        <v>1</v>
      </c>
      <c r="P100" s="850">
        <v>10.5</v>
      </c>
      <c r="Q100" s="851">
        <v>20.5</v>
      </c>
      <c r="R100" s="1019">
        <v>1</v>
      </c>
      <c r="S100" s="635">
        <v>7</v>
      </c>
      <c r="T100" s="636">
        <v>16</v>
      </c>
      <c r="U100" s="637">
        <v>1</v>
      </c>
      <c r="V100" s="1295">
        <v>10</v>
      </c>
      <c r="W100" s="753">
        <v>20</v>
      </c>
      <c r="X100" s="754">
        <v>1</v>
      </c>
      <c r="Y100" s="297">
        <f t="shared" si="14"/>
        <v>44</v>
      </c>
      <c r="Z100" s="457"/>
      <c r="AA100" s="6"/>
      <c r="AB100" s="24"/>
      <c r="AC100" s="17"/>
      <c r="AD100" s="17"/>
      <c r="AE100" s="17"/>
      <c r="AF100" s="17"/>
    </row>
    <row r="101" spans="1:32" ht="16.5" customHeight="1">
      <c r="B101" s="2049"/>
      <c r="C101" s="1234" t="s">
        <v>53</v>
      </c>
      <c r="D101" s="1506"/>
      <c r="E101" s="1507"/>
      <c r="F101" s="1508"/>
      <c r="G101" s="1506"/>
      <c r="H101" s="1507"/>
      <c r="I101" s="1508"/>
      <c r="J101" s="939">
        <v>7</v>
      </c>
      <c r="K101" s="940">
        <v>12</v>
      </c>
      <c r="L101" s="974"/>
      <c r="M101" s="407">
        <v>10.5</v>
      </c>
      <c r="N101" s="196">
        <v>20.5</v>
      </c>
      <c r="O101" s="408">
        <v>1</v>
      </c>
      <c r="P101" s="407">
        <v>10.5</v>
      </c>
      <c r="Q101" s="196">
        <v>20.5</v>
      </c>
      <c r="R101" s="408">
        <v>1</v>
      </c>
      <c r="S101" s="1285">
        <v>10.5</v>
      </c>
      <c r="T101" s="947">
        <v>20.5</v>
      </c>
      <c r="U101" s="1305">
        <v>1</v>
      </c>
      <c r="V101" s="597"/>
      <c r="W101" s="212"/>
      <c r="X101" s="213"/>
      <c r="Y101" s="525">
        <f t="shared" si="14"/>
        <v>32</v>
      </c>
      <c r="Z101" s="458"/>
      <c r="AA101" s="14"/>
      <c r="AB101" s="24"/>
      <c r="AC101" s="17"/>
      <c r="AD101" s="17"/>
      <c r="AE101" s="17"/>
      <c r="AF101" s="17"/>
    </row>
    <row r="102" spans="1:32" ht="16.5" customHeight="1">
      <c r="B102" s="1830" t="s">
        <v>171</v>
      </c>
      <c r="C102" s="694" t="s">
        <v>25</v>
      </c>
      <c r="D102" s="292">
        <v>10.5</v>
      </c>
      <c r="E102" s="293">
        <v>20.5</v>
      </c>
      <c r="F102" s="294">
        <v>1</v>
      </c>
      <c r="G102" s="586"/>
      <c r="H102" s="570"/>
      <c r="I102" s="592"/>
      <c r="J102" s="1488">
        <v>10.5</v>
      </c>
      <c r="K102" s="1489">
        <v>20.5</v>
      </c>
      <c r="L102" s="1490">
        <v>1</v>
      </c>
      <c r="M102" s="953">
        <v>11.5</v>
      </c>
      <c r="N102" s="954">
        <v>20.5</v>
      </c>
      <c r="O102" s="1042">
        <v>1</v>
      </c>
      <c r="P102" s="953">
        <v>10.5</v>
      </c>
      <c r="Q102" s="954">
        <v>20.5</v>
      </c>
      <c r="R102" s="1042">
        <v>1</v>
      </c>
      <c r="S102" s="632">
        <v>7</v>
      </c>
      <c r="T102" s="633">
        <v>17</v>
      </c>
      <c r="U102" s="634">
        <v>1</v>
      </c>
      <c r="V102" s="1191"/>
      <c r="W102" s="683"/>
      <c r="X102" s="684"/>
      <c r="Y102" s="2">
        <f t="shared" si="14"/>
        <v>44</v>
      </c>
      <c r="Z102" s="441"/>
      <c r="AA102" s="368"/>
      <c r="AB102" s="24"/>
      <c r="AC102" s="17"/>
      <c r="AD102" s="17"/>
      <c r="AE102" s="17"/>
      <c r="AF102" s="17"/>
    </row>
    <row r="103" spans="1:32" ht="16.5" customHeight="1">
      <c r="B103" s="1831"/>
      <c r="C103" s="695" t="s">
        <v>27</v>
      </c>
      <c r="D103" s="424"/>
      <c r="E103" s="198"/>
      <c r="F103" s="431"/>
      <c r="G103" s="850">
        <v>10.5</v>
      </c>
      <c r="H103" s="851">
        <v>20.5</v>
      </c>
      <c r="I103" s="1019">
        <v>1</v>
      </c>
      <c r="J103" s="1039">
        <v>7</v>
      </c>
      <c r="K103" s="1040">
        <v>16</v>
      </c>
      <c r="L103" s="1041">
        <v>1</v>
      </c>
      <c r="M103" s="850">
        <v>10.5</v>
      </c>
      <c r="N103" s="851">
        <v>20.5</v>
      </c>
      <c r="O103" s="1019">
        <v>1</v>
      </c>
      <c r="P103" s="850">
        <v>10.5</v>
      </c>
      <c r="Q103" s="851">
        <v>20.5</v>
      </c>
      <c r="R103" s="1019">
        <v>1</v>
      </c>
      <c r="S103" s="850">
        <v>10.5</v>
      </c>
      <c r="T103" s="851">
        <v>20.5</v>
      </c>
      <c r="U103" s="1304">
        <v>1</v>
      </c>
      <c r="V103" s="559"/>
      <c r="W103" s="174"/>
      <c r="X103" s="360"/>
      <c r="Y103" s="297">
        <f t="shared" si="14"/>
        <v>44</v>
      </c>
      <c r="Z103" s="457"/>
      <c r="AA103" s="6"/>
      <c r="AB103" s="24"/>
      <c r="AC103" s="17"/>
      <c r="AD103" s="17"/>
      <c r="AE103" s="17"/>
      <c r="AF103" s="17"/>
    </row>
    <row r="104" spans="1:32" ht="16.5" customHeight="1">
      <c r="B104" s="1831"/>
      <c r="C104" s="695" t="s">
        <v>31</v>
      </c>
      <c r="D104" s="186">
        <v>11.5</v>
      </c>
      <c r="E104" s="187">
        <v>20.5</v>
      </c>
      <c r="F104" s="188">
        <v>1</v>
      </c>
      <c r="G104" s="424"/>
      <c r="H104" s="198"/>
      <c r="I104" s="431"/>
      <c r="J104" s="424"/>
      <c r="K104" s="198"/>
      <c r="L104" s="431"/>
      <c r="M104" s="850">
        <v>10.5</v>
      </c>
      <c r="N104" s="851">
        <v>20.5</v>
      </c>
      <c r="O104" s="1019">
        <v>1</v>
      </c>
      <c r="P104" s="1039">
        <v>7</v>
      </c>
      <c r="Q104" s="1040">
        <v>17</v>
      </c>
      <c r="R104" s="1041">
        <v>1</v>
      </c>
      <c r="S104" s="850">
        <v>10.5</v>
      </c>
      <c r="T104" s="851">
        <v>20.5</v>
      </c>
      <c r="U104" s="1304">
        <v>1</v>
      </c>
      <c r="V104" s="1034">
        <v>8</v>
      </c>
      <c r="W104" s="854">
        <v>18</v>
      </c>
      <c r="X104" s="855">
        <v>1</v>
      </c>
      <c r="Y104" s="297">
        <f t="shared" si="14"/>
        <v>44</v>
      </c>
      <c r="Z104" s="457"/>
      <c r="AA104" s="6"/>
      <c r="AB104" s="24"/>
      <c r="AC104" s="17"/>
      <c r="AD104" s="17"/>
      <c r="AE104" s="17"/>
      <c r="AF104" s="17"/>
    </row>
    <row r="105" spans="1:32" ht="16.5" customHeight="1">
      <c r="B105" s="1831"/>
      <c r="C105" s="695" t="s">
        <v>55</v>
      </c>
      <c r="D105" s="1039">
        <v>7</v>
      </c>
      <c r="E105" s="1040">
        <v>17</v>
      </c>
      <c r="F105" s="1041">
        <v>1</v>
      </c>
      <c r="G105" s="186">
        <v>10.5</v>
      </c>
      <c r="H105" s="187">
        <v>20.5</v>
      </c>
      <c r="I105" s="188">
        <v>1</v>
      </c>
      <c r="J105" s="850">
        <v>11.5</v>
      </c>
      <c r="K105" s="851">
        <v>20.5</v>
      </c>
      <c r="L105" s="1019">
        <v>1</v>
      </c>
      <c r="M105" s="424"/>
      <c r="N105" s="198"/>
      <c r="O105" s="431"/>
      <c r="P105" s="424"/>
      <c r="Q105" s="198"/>
      <c r="R105" s="431"/>
      <c r="S105" s="850">
        <v>10.5</v>
      </c>
      <c r="T105" s="851">
        <v>20.5</v>
      </c>
      <c r="U105" s="1304">
        <v>1</v>
      </c>
      <c r="V105" s="1295">
        <v>10</v>
      </c>
      <c r="W105" s="753">
        <v>20</v>
      </c>
      <c r="X105" s="754">
        <v>1</v>
      </c>
      <c r="Y105" s="297">
        <f t="shared" si="14"/>
        <v>44</v>
      </c>
      <c r="Z105" s="457"/>
      <c r="AA105" s="6"/>
      <c r="AB105" s="24"/>
      <c r="AC105" s="17"/>
      <c r="AD105" s="17"/>
      <c r="AE105" s="17"/>
      <c r="AF105" s="17"/>
    </row>
    <row r="106" spans="1:32" ht="16.5" customHeight="1">
      <c r="B106" s="1831"/>
      <c r="C106" s="695" t="s">
        <v>172</v>
      </c>
      <c r="D106" s="424"/>
      <c r="E106" s="198"/>
      <c r="F106" s="431"/>
      <c r="G106" s="424"/>
      <c r="H106" s="198"/>
      <c r="I106" s="431"/>
      <c r="J106" s="635">
        <v>7</v>
      </c>
      <c r="K106" s="636">
        <v>17</v>
      </c>
      <c r="L106" s="651">
        <v>1</v>
      </c>
      <c r="M106" s="850">
        <v>11.5</v>
      </c>
      <c r="N106" s="851">
        <v>20.5</v>
      </c>
      <c r="O106" s="1019">
        <v>1</v>
      </c>
      <c r="P106" s="850">
        <v>10.5</v>
      </c>
      <c r="Q106" s="851">
        <v>20.5</v>
      </c>
      <c r="R106" s="1019">
        <v>1</v>
      </c>
      <c r="S106" s="186">
        <v>10.5</v>
      </c>
      <c r="T106" s="187">
        <v>20.5</v>
      </c>
      <c r="U106" s="192">
        <v>1</v>
      </c>
      <c r="V106" s="1295">
        <v>10</v>
      </c>
      <c r="W106" s="753">
        <v>20</v>
      </c>
      <c r="X106" s="754">
        <v>1</v>
      </c>
      <c r="Y106" s="297">
        <f t="shared" si="14"/>
        <v>44</v>
      </c>
      <c r="Z106" s="457"/>
      <c r="AA106" s="6"/>
      <c r="AB106" s="24"/>
      <c r="AC106" s="17"/>
      <c r="AD106" s="17"/>
      <c r="AE106" s="17"/>
      <c r="AF106" s="17"/>
    </row>
    <row r="107" spans="1:32" ht="16.5" customHeight="1">
      <c r="B107" s="1831"/>
      <c r="C107" s="695" t="s">
        <v>87</v>
      </c>
      <c r="D107" s="635">
        <v>7</v>
      </c>
      <c r="E107" s="636">
        <v>16</v>
      </c>
      <c r="F107" s="651">
        <v>1</v>
      </c>
      <c r="G107" s="850">
        <v>10.5</v>
      </c>
      <c r="H107" s="851">
        <v>20.5</v>
      </c>
      <c r="I107" s="1019">
        <v>1</v>
      </c>
      <c r="J107" s="850">
        <v>10.5</v>
      </c>
      <c r="K107" s="851">
        <v>20.5</v>
      </c>
      <c r="L107" s="1019">
        <v>1</v>
      </c>
      <c r="M107" s="424"/>
      <c r="N107" s="198"/>
      <c r="O107" s="431"/>
      <c r="P107" s="424"/>
      <c r="Q107" s="198"/>
      <c r="R107" s="431"/>
      <c r="S107" s="850">
        <v>10.5</v>
      </c>
      <c r="T107" s="851">
        <v>20.5</v>
      </c>
      <c r="U107" s="1304">
        <v>1</v>
      </c>
      <c r="V107" s="1295">
        <v>10</v>
      </c>
      <c r="W107" s="753">
        <v>20</v>
      </c>
      <c r="X107" s="754">
        <v>1</v>
      </c>
      <c r="Y107" s="297">
        <f t="shared" si="14"/>
        <v>44</v>
      </c>
      <c r="Z107" s="457"/>
      <c r="AA107" s="6"/>
      <c r="AB107" s="24"/>
      <c r="AC107" s="17"/>
      <c r="AD107" s="17"/>
      <c r="AE107" s="17"/>
      <c r="AF107" s="17"/>
    </row>
    <row r="108" spans="1:32" ht="16.5" customHeight="1">
      <c r="B108" s="1831"/>
      <c r="C108" s="695" t="s">
        <v>104</v>
      </c>
      <c r="D108" s="850">
        <v>10.5</v>
      </c>
      <c r="E108" s="851">
        <v>20.5</v>
      </c>
      <c r="F108" s="1019">
        <v>1</v>
      </c>
      <c r="G108" s="850">
        <v>10.5</v>
      </c>
      <c r="H108" s="851">
        <v>20.5</v>
      </c>
      <c r="I108" s="1019">
        <v>1</v>
      </c>
      <c r="J108" s="186">
        <v>11.5</v>
      </c>
      <c r="K108" s="187">
        <v>20.5</v>
      </c>
      <c r="L108" s="188">
        <v>1</v>
      </c>
      <c r="M108" s="424"/>
      <c r="N108" s="198"/>
      <c r="O108" s="431"/>
      <c r="P108" s="850">
        <v>10.5</v>
      </c>
      <c r="Q108" s="851">
        <v>20.5</v>
      </c>
      <c r="R108" s="1019">
        <v>1</v>
      </c>
      <c r="S108" s="635">
        <v>7</v>
      </c>
      <c r="T108" s="636">
        <v>17</v>
      </c>
      <c r="U108" s="637">
        <v>1</v>
      </c>
      <c r="V108" s="597"/>
      <c r="W108" s="212"/>
      <c r="X108" s="213"/>
      <c r="Y108" s="297">
        <f t="shared" si="14"/>
        <v>44</v>
      </c>
      <c r="Z108" s="457"/>
      <c r="AA108" s="6"/>
      <c r="AB108" s="24"/>
      <c r="AC108" s="17"/>
      <c r="AD108" s="17"/>
      <c r="AE108" s="17"/>
      <c r="AF108" s="17"/>
    </row>
    <row r="109" spans="1:32" ht="16.5" customHeight="1">
      <c r="A109" s="50"/>
      <c r="B109" s="1831"/>
      <c r="C109" s="932" t="s">
        <v>187</v>
      </c>
      <c r="D109" s="738">
        <v>10.5</v>
      </c>
      <c r="E109" s="739">
        <v>20.5</v>
      </c>
      <c r="F109" s="740">
        <v>1</v>
      </c>
      <c r="G109" s="1510">
        <v>7</v>
      </c>
      <c r="H109" s="1511">
        <v>16</v>
      </c>
      <c r="I109" s="1512">
        <v>1</v>
      </c>
      <c r="J109" s="193"/>
      <c r="K109" s="194"/>
      <c r="L109" s="195"/>
      <c r="M109" s="1285">
        <v>10.5</v>
      </c>
      <c r="N109" s="947">
        <v>20.5</v>
      </c>
      <c r="O109" s="948">
        <v>1</v>
      </c>
      <c r="P109" s="355"/>
      <c r="Q109" s="346"/>
      <c r="R109" s="357"/>
      <c r="S109" s="741">
        <v>10.5</v>
      </c>
      <c r="T109" s="742">
        <v>20.5</v>
      </c>
      <c r="U109" s="1293">
        <v>1</v>
      </c>
      <c r="V109" s="1513">
        <v>10</v>
      </c>
      <c r="W109" s="1325">
        <v>20</v>
      </c>
      <c r="X109" s="1446">
        <v>1</v>
      </c>
      <c r="Y109" s="298">
        <f t="shared" si="14"/>
        <v>44</v>
      </c>
      <c r="Z109" s="500"/>
      <c r="AA109" s="369"/>
      <c r="AB109" s="17"/>
      <c r="AC109" s="17"/>
      <c r="AD109" s="17"/>
      <c r="AE109" s="17"/>
      <c r="AF109" s="17"/>
    </row>
    <row r="110" spans="1:32" ht="16.5" customHeight="1">
      <c r="A110" s="50"/>
      <c r="B110" s="1830" t="s">
        <v>116</v>
      </c>
      <c r="C110" s="694" t="s">
        <v>32</v>
      </c>
      <c r="D110" s="276"/>
      <c r="E110" s="277"/>
      <c r="F110" s="278"/>
      <c r="G110" s="276"/>
      <c r="H110" s="277"/>
      <c r="I110" s="278"/>
      <c r="J110" s="953">
        <v>16.5</v>
      </c>
      <c r="K110" s="954">
        <v>20.5</v>
      </c>
      <c r="L110" s="1042"/>
      <c r="M110" s="586"/>
      <c r="N110" s="570"/>
      <c r="O110" s="592"/>
      <c r="P110" s="1517">
        <v>7</v>
      </c>
      <c r="Q110" s="1514">
        <v>12</v>
      </c>
      <c r="R110" s="1518"/>
      <c r="S110" s="1259">
        <v>14.5</v>
      </c>
      <c r="T110" s="1257">
        <v>20.5</v>
      </c>
      <c r="U110" s="1258">
        <v>1</v>
      </c>
      <c r="V110" s="642">
        <v>8</v>
      </c>
      <c r="W110" s="643">
        <v>16</v>
      </c>
      <c r="X110" s="1017">
        <v>1</v>
      </c>
      <c r="Y110" s="734">
        <f t="shared" si="14"/>
        <v>21</v>
      </c>
      <c r="Z110" s="529"/>
      <c r="AA110" s="5"/>
      <c r="AB110" s="17"/>
      <c r="AC110" s="17"/>
      <c r="AD110" s="17"/>
      <c r="AE110" s="17"/>
      <c r="AF110" s="17"/>
    </row>
    <row r="111" spans="1:32" ht="16.5" customHeight="1">
      <c r="A111" s="50"/>
      <c r="B111" s="1831"/>
      <c r="C111" s="695" t="s">
        <v>89</v>
      </c>
      <c r="D111" s="746">
        <v>14.5</v>
      </c>
      <c r="E111" s="747">
        <v>20.5</v>
      </c>
      <c r="F111" s="748">
        <v>1</v>
      </c>
      <c r="G111" s="749">
        <v>16.5</v>
      </c>
      <c r="H111" s="750">
        <v>20.5</v>
      </c>
      <c r="I111" s="751"/>
      <c r="J111" s="424"/>
      <c r="K111" s="198"/>
      <c r="L111" s="431"/>
      <c r="M111" s="225"/>
      <c r="N111" s="226"/>
      <c r="O111" s="248"/>
      <c r="P111" s="749">
        <v>16.5</v>
      </c>
      <c r="Q111" s="750">
        <v>20.5</v>
      </c>
      <c r="R111" s="751"/>
      <c r="S111" s="749">
        <v>13.5</v>
      </c>
      <c r="T111" s="750">
        <v>20.5</v>
      </c>
      <c r="U111" s="751">
        <v>1</v>
      </c>
      <c r="V111" s="853">
        <v>8</v>
      </c>
      <c r="W111" s="854">
        <v>16</v>
      </c>
      <c r="X111" s="1013">
        <v>1</v>
      </c>
      <c r="Y111" s="735">
        <f t="shared" si="14"/>
        <v>26</v>
      </c>
      <c r="Z111" s="457"/>
      <c r="AA111" s="6"/>
      <c r="AB111" s="17"/>
      <c r="AC111" s="17"/>
      <c r="AD111" s="17"/>
      <c r="AE111" s="17"/>
      <c r="AF111" s="17"/>
    </row>
    <row r="112" spans="1:32" ht="16.5" customHeight="1">
      <c r="A112" s="50"/>
      <c r="B112" s="1831"/>
      <c r="C112" s="695" t="s">
        <v>239</v>
      </c>
      <c r="D112" s="225"/>
      <c r="E112" s="226"/>
      <c r="F112" s="248"/>
      <c r="G112" s="1437">
        <v>7</v>
      </c>
      <c r="H112" s="1438">
        <v>12</v>
      </c>
      <c r="I112" s="1439"/>
      <c r="J112" s="850">
        <v>13.5</v>
      </c>
      <c r="K112" s="851">
        <v>20.5</v>
      </c>
      <c r="L112" s="1019">
        <v>1</v>
      </c>
      <c r="M112" s="1434">
        <v>7</v>
      </c>
      <c r="N112" s="1435">
        <v>12</v>
      </c>
      <c r="O112" s="1436"/>
      <c r="P112" s="262"/>
      <c r="Q112" s="171"/>
      <c r="R112" s="172"/>
      <c r="S112" s="749">
        <v>13.5</v>
      </c>
      <c r="T112" s="750">
        <v>20.5</v>
      </c>
      <c r="U112" s="751">
        <v>1</v>
      </c>
      <c r="V112" s="752">
        <v>12</v>
      </c>
      <c r="W112" s="753">
        <v>20</v>
      </c>
      <c r="X112" s="1262">
        <v>1</v>
      </c>
      <c r="Y112" s="735">
        <f t="shared" si="14"/>
        <v>29</v>
      </c>
      <c r="Z112" s="457"/>
      <c r="AA112" s="6"/>
      <c r="AB112" s="17"/>
      <c r="AC112" s="17"/>
      <c r="AD112" s="17"/>
      <c r="AE112" s="17"/>
      <c r="AF112" s="17"/>
    </row>
    <row r="113" spans="1:32" ht="16.5" customHeight="1">
      <c r="A113" s="50"/>
      <c r="B113" s="1831"/>
      <c r="C113" s="695" t="s">
        <v>188</v>
      </c>
      <c r="D113" s="746">
        <v>13.5</v>
      </c>
      <c r="E113" s="747">
        <v>20.5</v>
      </c>
      <c r="F113" s="748">
        <v>1</v>
      </c>
      <c r="G113" s="262"/>
      <c r="H113" s="171"/>
      <c r="I113" s="172"/>
      <c r="J113" s="424"/>
      <c r="K113" s="198"/>
      <c r="L113" s="431"/>
      <c r="M113" s="73">
        <v>16.5</v>
      </c>
      <c r="N113" s="74">
        <v>20.5</v>
      </c>
      <c r="O113" s="75"/>
      <c r="P113" s="1437">
        <v>7</v>
      </c>
      <c r="Q113" s="1438">
        <v>12</v>
      </c>
      <c r="R113" s="1439"/>
      <c r="S113" s="676">
        <v>7</v>
      </c>
      <c r="T113" s="666">
        <v>16</v>
      </c>
      <c r="U113" s="667">
        <v>1</v>
      </c>
      <c r="V113" s="752">
        <v>12</v>
      </c>
      <c r="W113" s="753">
        <v>20</v>
      </c>
      <c r="X113" s="1262">
        <v>1</v>
      </c>
      <c r="Y113" s="735">
        <f t="shared" si="14"/>
        <v>30</v>
      </c>
      <c r="Z113" s="457"/>
      <c r="AA113" s="6"/>
      <c r="AB113" s="17"/>
      <c r="AC113" s="17"/>
      <c r="AD113" s="17"/>
      <c r="AE113" s="17"/>
      <c r="AF113" s="17"/>
    </row>
    <row r="114" spans="1:32" ht="16.5" customHeight="1">
      <c r="A114" s="50"/>
      <c r="B114" s="1831"/>
      <c r="C114" s="695" t="s">
        <v>117</v>
      </c>
      <c r="D114" s="73">
        <v>12.5</v>
      </c>
      <c r="E114" s="74">
        <v>20.5</v>
      </c>
      <c r="F114" s="75">
        <v>1</v>
      </c>
      <c r="G114" s="225"/>
      <c r="H114" s="226"/>
      <c r="I114" s="248"/>
      <c r="J114" s="850">
        <v>13.5</v>
      </c>
      <c r="K114" s="851">
        <v>20.5</v>
      </c>
      <c r="L114" s="1019">
        <v>1</v>
      </c>
      <c r="M114" s="225"/>
      <c r="N114" s="226"/>
      <c r="O114" s="248"/>
      <c r="P114" s="225"/>
      <c r="Q114" s="226"/>
      <c r="R114" s="248"/>
      <c r="S114" s="746">
        <v>14.5</v>
      </c>
      <c r="T114" s="747">
        <v>20.5</v>
      </c>
      <c r="U114" s="748">
        <v>1</v>
      </c>
      <c r="V114" s="752">
        <v>11</v>
      </c>
      <c r="W114" s="753">
        <v>20</v>
      </c>
      <c r="X114" s="1262">
        <v>1</v>
      </c>
      <c r="Y114" s="735">
        <f t="shared" si="14"/>
        <v>26</v>
      </c>
      <c r="Z114" s="457"/>
      <c r="AA114" s="6"/>
      <c r="AB114" s="17"/>
      <c r="AC114" s="17"/>
      <c r="AD114" s="17"/>
      <c r="AE114" s="17"/>
      <c r="AF114" s="17"/>
    </row>
    <row r="115" spans="1:32" ht="16.5" customHeight="1">
      <c r="A115" s="50"/>
      <c r="B115" s="1831"/>
      <c r="C115" s="695" t="s">
        <v>214</v>
      </c>
      <c r="D115" s="424"/>
      <c r="E115" s="198"/>
      <c r="F115" s="431"/>
      <c r="G115" s="424"/>
      <c r="H115" s="198"/>
      <c r="I115" s="431"/>
      <c r="J115" s="635">
        <v>7</v>
      </c>
      <c r="K115" s="636">
        <v>12</v>
      </c>
      <c r="L115" s="651"/>
      <c r="M115" s="424"/>
      <c r="N115" s="198"/>
      <c r="O115" s="431"/>
      <c r="P115" s="850">
        <v>16.5</v>
      </c>
      <c r="Q115" s="851">
        <v>20.5</v>
      </c>
      <c r="R115" s="1019"/>
      <c r="S115" s="850">
        <v>13.5</v>
      </c>
      <c r="T115" s="851">
        <v>20.5</v>
      </c>
      <c r="U115" s="1019">
        <v>1</v>
      </c>
      <c r="V115" s="752">
        <v>13</v>
      </c>
      <c r="W115" s="753">
        <v>20</v>
      </c>
      <c r="X115" s="1262">
        <v>1</v>
      </c>
      <c r="Y115" s="735">
        <f t="shared" si="14"/>
        <v>21</v>
      </c>
      <c r="Z115" s="457"/>
      <c r="AA115" s="6"/>
      <c r="AB115" s="17"/>
      <c r="AC115" s="17"/>
      <c r="AD115" s="17"/>
      <c r="AE115" s="17"/>
      <c r="AF115" s="17"/>
    </row>
    <row r="116" spans="1:32" ht="16.5" customHeight="1">
      <c r="A116" s="50"/>
      <c r="B116" s="1831"/>
      <c r="C116" s="695" t="s">
        <v>191</v>
      </c>
      <c r="D116" s="1515">
        <v>16.5</v>
      </c>
      <c r="E116" s="1509">
        <v>20.5</v>
      </c>
      <c r="F116" s="1516"/>
      <c r="G116" s="1515"/>
      <c r="H116" s="1509"/>
      <c r="I116" s="1516"/>
      <c r="J116" s="424"/>
      <c r="K116" s="198"/>
      <c r="L116" s="431"/>
      <c r="M116" s="186">
        <v>16.5</v>
      </c>
      <c r="N116" s="187">
        <v>20.5</v>
      </c>
      <c r="O116" s="188"/>
      <c r="P116" s="424"/>
      <c r="Q116" s="198"/>
      <c r="R116" s="431"/>
      <c r="S116" s="850">
        <v>13.5</v>
      </c>
      <c r="T116" s="851">
        <v>20.5</v>
      </c>
      <c r="U116" s="1019">
        <v>1</v>
      </c>
      <c r="V116" s="752">
        <v>12</v>
      </c>
      <c r="W116" s="753">
        <v>20</v>
      </c>
      <c r="X116" s="1262">
        <v>1</v>
      </c>
      <c r="Y116" s="736">
        <f t="shared" si="14"/>
        <v>21</v>
      </c>
      <c r="Z116" s="500"/>
      <c r="AA116" s="369"/>
      <c r="AB116" s="17"/>
      <c r="AC116" s="17"/>
      <c r="AD116" s="17"/>
      <c r="AE116" s="17"/>
      <c r="AF116" s="17"/>
    </row>
    <row r="117" spans="1:32" ht="16.5" customHeight="1">
      <c r="A117" s="50"/>
      <c r="B117" s="1832"/>
      <c r="C117" s="561" t="s">
        <v>252</v>
      </c>
      <c r="D117" s="936"/>
      <c r="E117" s="937"/>
      <c r="F117" s="938"/>
      <c r="G117" s="936"/>
      <c r="H117" s="937"/>
      <c r="I117" s="938"/>
      <c r="J117" s="936"/>
      <c r="K117" s="937"/>
      <c r="L117" s="938"/>
      <c r="M117" s="1266">
        <v>13.5</v>
      </c>
      <c r="N117" s="1249">
        <v>20.5</v>
      </c>
      <c r="O117" s="1267">
        <v>1</v>
      </c>
      <c r="P117" s="1266">
        <v>16.5</v>
      </c>
      <c r="Q117" s="1249">
        <v>20.5</v>
      </c>
      <c r="R117" s="1267"/>
      <c r="S117" s="1266">
        <v>13.5</v>
      </c>
      <c r="T117" s="1249">
        <v>20.5</v>
      </c>
      <c r="U117" s="1267">
        <v>1</v>
      </c>
      <c r="V117" s="1270">
        <v>12</v>
      </c>
      <c r="W117" s="1271">
        <v>20</v>
      </c>
      <c r="X117" s="1272">
        <v>1</v>
      </c>
      <c r="Y117" s="736">
        <f t="shared" si="14"/>
        <v>23</v>
      </c>
      <c r="Z117" s="23"/>
      <c r="AA117" s="17"/>
      <c r="AB117" s="17"/>
      <c r="AC117" s="17"/>
      <c r="AD117" s="17"/>
      <c r="AE117" s="17"/>
      <c r="AF117" s="17"/>
    </row>
    <row r="118" spans="1:32">
      <c r="B118" s="32"/>
      <c r="C118" s="295"/>
      <c r="D118" s="1836">
        <f>COUNT(D96:D116)</f>
        <v>12</v>
      </c>
      <c r="E118" s="1837"/>
      <c r="F118" s="1838"/>
      <c r="G118" s="1836">
        <f>COUNT(G96:G116)</f>
        <v>12</v>
      </c>
      <c r="H118" s="1837"/>
      <c r="I118" s="1838"/>
      <c r="J118" s="1836">
        <f>COUNT(J96:J116)</f>
        <v>13</v>
      </c>
      <c r="K118" s="1837"/>
      <c r="L118" s="1838"/>
      <c r="M118" s="1836">
        <f>COUNT(M96:M117)</f>
        <v>14</v>
      </c>
      <c r="N118" s="1837"/>
      <c r="O118" s="1838"/>
      <c r="P118" s="1828">
        <f>COUNT(P96:P117)</f>
        <v>15</v>
      </c>
      <c r="Q118" s="1829"/>
      <c r="R118" s="1829"/>
      <c r="S118" s="1828">
        <f t="shared" ref="S118" si="15">COUNT(S96:S117)</f>
        <v>21</v>
      </c>
      <c r="T118" s="1829"/>
      <c r="U118" s="1829"/>
      <c r="V118" s="1828">
        <f t="shared" ref="V118" si="16">COUNT(V96:V117)</f>
        <v>16</v>
      </c>
      <c r="W118" s="1829"/>
      <c r="X118" s="1829"/>
      <c r="Y118" s="23"/>
      <c r="Z118" s="23"/>
      <c r="AA118" s="17"/>
      <c r="AB118" s="17"/>
      <c r="AC118" s="17"/>
      <c r="AD118" s="17"/>
      <c r="AE118" s="17"/>
      <c r="AF118" s="17"/>
    </row>
    <row r="119" spans="1:32"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AB119" s="17"/>
      <c r="AC119" s="17"/>
      <c r="AD119" s="17"/>
      <c r="AE119" s="17"/>
      <c r="AF119" s="17"/>
    </row>
    <row r="120" spans="1:32"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2072"/>
      <c r="Q120" s="2072"/>
      <c r="R120" s="2072"/>
      <c r="S120" s="50"/>
      <c r="T120" s="50"/>
      <c r="U120" s="50"/>
      <c r="V120" s="50"/>
      <c r="W120" s="50"/>
      <c r="X120" s="50"/>
      <c r="AB120" s="17"/>
      <c r="AC120" s="17"/>
      <c r="AD120" s="17"/>
      <c r="AE120" s="17"/>
      <c r="AF120" s="17"/>
    </row>
    <row r="121" spans="1:32" ht="15.75" customHeight="1">
      <c r="C121" s="50"/>
      <c r="D121" s="2165"/>
      <c r="E121" s="2166"/>
      <c r="F121" s="2167"/>
      <c r="G121" s="50"/>
      <c r="H121" s="50"/>
      <c r="I121" s="50"/>
      <c r="J121" s="50"/>
      <c r="K121" s="50"/>
      <c r="L121" s="50"/>
      <c r="M121" s="50"/>
      <c r="N121" s="50"/>
      <c r="O121" s="50"/>
      <c r="P121" s="2241" t="s">
        <v>253</v>
      </c>
      <c r="Q121" s="2242"/>
      <c r="R121" s="2243"/>
      <c r="S121" s="50"/>
      <c r="T121" s="50"/>
      <c r="U121" s="50"/>
      <c r="V121" s="50"/>
      <c r="W121" s="50"/>
      <c r="X121" s="50"/>
      <c r="AB121" s="17"/>
      <c r="AC121" s="17"/>
      <c r="AD121" s="17"/>
      <c r="AE121" s="17"/>
      <c r="AF121" s="17"/>
    </row>
    <row r="122" spans="1:32" ht="18" customHeight="1">
      <c r="B122" s="1817" t="str">
        <f>B93</f>
        <v>MARZO</v>
      </c>
      <c r="C122" s="1817"/>
      <c r="D122" s="1954" t="s">
        <v>254</v>
      </c>
      <c r="E122" s="1955"/>
      <c r="F122" s="1956"/>
      <c r="G122" s="2163" t="s">
        <v>255</v>
      </c>
      <c r="H122" s="2152"/>
      <c r="I122" s="2164"/>
      <c r="J122" s="2160" t="s">
        <v>256</v>
      </c>
      <c r="K122" s="2161"/>
      <c r="L122" s="2162"/>
      <c r="M122" s="2153" t="s">
        <v>257</v>
      </c>
      <c r="N122" s="2130"/>
      <c r="O122" s="2131"/>
      <c r="P122" s="2237" t="s">
        <v>258</v>
      </c>
      <c r="Q122" s="2237"/>
      <c r="R122" s="2237"/>
      <c r="S122" s="2238" t="s">
        <v>259</v>
      </c>
      <c r="T122" s="2239"/>
      <c r="U122" s="2239"/>
      <c r="V122" s="2239"/>
      <c r="W122" s="2239"/>
      <c r="X122" s="2240"/>
      <c r="Y122" s="50"/>
      <c r="AA122" s="47"/>
      <c r="AB122" s="17"/>
      <c r="AC122" s="17"/>
      <c r="AD122" s="17"/>
      <c r="AE122" s="17"/>
      <c r="AF122" s="17"/>
    </row>
    <row r="123" spans="1:32" ht="15" customHeight="1">
      <c r="B123" s="1818"/>
      <c r="C123" s="1818"/>
      <c r="D123" s="2051"/>
      <c r="E123" s="2052"/>
      <c r="F123" s="2053"/>
      <c r="G123" s="2151" t="s">
        <v>260</v>
      </c>
      <c r="H123" s="2152"/>
      <c r="I123" s="2164"/>
      <c r="J123" s="1957" t="s">
        <v>261</v>
      </c>
      <c r="K123" s="1958"/>
      <c r="L123" s="1959"/>
      <c r="M123" s="2151" t="s">
        <v>262</v>
      </c>
      <c r="N123" s="2152"/>
      <c r="O123" s="2164"/>
      <c r="P123" s="2030"/>
      <c r="Q123" s="2030"/>
      <c r="R123" s="2031"/>
      <c r="S123" s="1521"/>
      <c r="T123" s="1521"/>
      <c r="U123" s="1521"/>
      <c r="V123" s="1522"/>
      <c r="W123" s="1523"/>
      <c r="X123" s="1524"/>
      <c r="Y123" s="17"/>
      <c r="Z123" s="17"/>
      <c r="AA123" s="17"/>
      <c r="AB123" s="17"/>
      <c r="AC123" s="17"/>
      <c r="AD123" s="17"/>
      <c r="AE123" s="17"/>
      <c r="AF123" s="17"/>
    </row>
    <row r="124" spans="1:32" ht="16.5" customHeight="1">
      <c r="B124" s="19" t="s">
        <v>1</v>
      </c>
      <c r="C124" s="19" t="s">
        <v>2</v>
      </c>
      <c r="D124" s="2214" t="s">
        <v>263</v>
      </c>
      <c r="E124" s="2215"/>
      <c r="F124" s="2216"/>
      <c r="G124" s="1921" t="s">
        <v>223</v>
      </c>
      <c r="H124" s="1922"/>
      <c r="I124" s="2168"/>
      <c r="J124" s="1921" t="s">
        <v>224</v>
      </c>
      <c r="K124" s="1922"/>
      <c r="L124" s="2168"/>
      <c r="M124" s="1836" t="s">
        <v>225</v>
      </c>
      <c r="N124" s="1837"/>
      <c r="O124" s="1838"/>
      <c r="P124" s="2088" t="s">
        <v>226</v>
      </c>
      <c r="Q124" s="2089"/>
      <c r="R124" s="2090"/>
      <c r="S124" s="2066" t="s">
        <v>227</v>
      </c>
      <c r="T124" s="2067"/>
      <c r="U124" s="2068"/>
      <c r="V124" s="2094" t="s">
        <v>264</v>
      </c>
      <c r="W124" s="2095"/>
      <c r="X124" s="2096"/>
      <c r="Y124" s="19" t="s">
        <v>5</v>
      </c>
      <c r="Z124" s="1086" t="s">
        <v>6</v>
      </c>
      <c r="AA124" s="18" t="s">
        <v>7</v>
      </c>
      <c r="AB124" s="17"/>
      <c r="AC124" s="17"/>
      <c r="AD124" s="17"/>
      <c r="AE124" s="17"/>
      <c r="AF124" s="17"/>
    </row>
    <row r="125" spans="1:32" ht="16.5" customHeight="1">
      <c r="B125" s="924" t="s">
        <v>8</v>
      </c>
      <c r="C125" s="925" t="s">
        <v>9</v>
      </c>
      <c r="D125" s="907">
        <v>10</v>
      </c>
      <c r="E125" s="571">
        <v>20</v>
      </c>
      <c r="F125" s="587">
        <v>1</v>
      </c>
      <c r="G125" s="648">
        <v>7</v>
      </c>
      <c r="H125" s="649">
        <v>12</v>
      </c>
      <c r="I125" s="650"/>
      <c r="J125" s="590"/>
      <c r="K125" s="572"/>
      <c r="L125" s="914"/>
      <c r="M125" s="590"/>
      <c r="N125" s="572"/>
      <c r="O125" s="914"/>
      <c r="P125" s="907">
        <v>11.5</v>
      </c>
      <c r="Q125" s="571">
        <v>20.5</v>
      </c>
      <c r="R125" s="587">
        <v>1</v>
      </c>
      <c r="S125" s="1298">
        <v>10.5</v>
      </c>
      <c r="T125" s="1299">
        <v>20.5</v>
      </c>
      <c r="U125" s="1300">
        <v>1</v>
      </c>
      <c r="V125" s="1251">
        <v>10</v>
      </c>
      <c r="W125" s="1252">
        <v>20</v>
      </c>
      <c r="X125" s="1323">
        <v>1</v>
      </c>
      <c r="Y125" s="441">
        <f t="shared" ref="Y125:Y147" si="17">SUM(E125-D125-F125+H125-G125-I125+K125-J125-L125+N125-M125-O125+Q125-P125-R125+T125-S125-U125+W125-V125-X125)</f>
        <v>40</v>
      </c>
      <c r="Z125" s="1105"/>
      <c r="AA125" s="368"/>
      <c r="AB125" s="17"/>
      <c r="AC125" s="17"/>
      <c r="AD125" s="17"/>
      <c r="AE125" s="17"/>
      <c r="AF125" s="17"/>
    </row>
    <row r="126" spans="1:32" ht="16.5" customHeight="1">
      <c r="A126" s="50"/>
      <c r="B126" s="2004" t="s">
        <v>11</v>
      </c>
      <c r="C126" s="1314" t="s">
        <v>51</v>
      </c>
      <c r="D126" s="589"/>
      <c r="E126" s="570"/>
      <c r="F126" s="890"/>
      <c r="G126" s="1301">
        <v>10.5</v>
      </c>
      <c r="H126" s="954">
        <v>20.5</v>
      </c>
      <c r="I126" s="1042">
        <v>1</v>
      </c>
      <c r="J126" s="953">
        <v>11.5</v>
      </c>
      <c r="K126" s="954">
        <v>20.5</v>
      </c>
      <c r="L126" s="1042">
        <v>1</v>
      </c>
      <c r="M126" s="632">
        <v>7</v>
      </c>
      <c r="N126" s="633">
        <v>17</v>
      </c>
      <c r="O126" s="862">
        <v>1</v>
      </c>
      <c r="P126" s="586"/>
      <c r="Q126" s="570"/>
      <c r="R126" s="592"/>
      <c r="S126" s="953">
        <v>10.5</v>
      </c>
      <c r="T126" s="954">
        <v>20.5</v>
      </c>
      <c r="U126" s="1042">
        <v>1</v>
      </c>
      <c r="V126" s="1253">
        <v>10</v>
      </c>
      <c r="W126" s="1254">
        <v>20</v>
      </c>
      <c r="X126" s="1260">
        <v>1</v>
      </c>
      <c r="Y126" s="441">
        <f t="shared" si="17"/>
        <v>44</v>
      </c>
      <c r="Z126" s="1105"/>
      <c r="AA126" s="368"/>
      <c r="AB126" s="17"/>
      <c r="AC126" s="17"/>
      <c r="AD126" s="17"/>
      <c r="AE126" s="17"/>
      <c r="AF126" s="17"/>
    </row>
    <row r="127" spans="1:32" ht="16.5" customHeight="1">
      <c r="A127" s="50"/>
      <c r="B127" s="2191"/>
      <c r="C127" s="928" t="s">
        <v>14</v>
      </c>
      <c r="D127" s="1414">
        <v>10</v>
      </c>
      <c r="E127" s="1249">
        <v>20</v>
      </c>
      <c r="F127" s="1292">
        <v>1</v>
      </c>
      <c r="G127" s="946">
        <v>10.5</v>
      </c>
      <c r="H127" s="947">
        <v>20.5</v>
      </c>
      <c r="I127" s="948">
        <v>1</v>
      </c>
      <c r="J127" s="407">
        <v>10.5</v>
      </c>
      <c r="K127" s="196">
        <v>20.5</v>
      </c>
      <c r="L127" s="408">
        <v>1</v>
      </c>
      <c r="M127" s="407">
        <v>10.5</v>
      </c>
      <c r="N127" s="196">
        <v>20.5</v>
      </c>
      <c r="O127" s="408">
        <v>1</v>
      </c>
      <c r="P127" s="939">
        <v>7</v>
      </c>
      <c r="Q127" s="940">
        <v>16</v>
      </c>
      <c r="R127" s="974">
        <v>1</v>
      </c>
      <c r="S127" s="193"/>
      <c r="T127" s="194"/>
      <c r="U127" s="195"/>
      <c r="V127" s="211"/>
      <c r="W127" s="212"/>
      <c r="X127" s="307"/>
      <c r="Y127" s="441">
        <f t="shared" si="17"/>
        <v>44</v>
      </c>
      <c r="Z127" s="1109"/>
      <c r="AA127" s="14"/>
      <c r="AB127" s="17"/>
      <c r="AC127" s="17"/>
      <c r="AD127" s="17"/>
      <c r="AE127" s="17"/>
      <c r="AF127" s="17"/>
    </row>
    <row r="128" spans="1:32" ht="16.5" customHeight="1">
      <c r="B128" s="2192"/>
      <c r="C128" s="1030" t="s">
        <v>28</v>
      </c>
      <c r="D128" s="1289">
        <v>10</v>
      </c>
      <c r="E128" s="1290">
        <v>20</v>
      </c>
      <c r="F128" s="1291">
        <v>1</v>
      </c>
      <c r="G128" s="586"/>
      <c r="H128" s="570"/>
      <c r="I128" s="592"/>
      <c r="J128" s="632">
        <v>7</v>
      </c>
      <c r="K128" s="633">
        <v>16</v>
      </c>
      <c r="L128" s="862">
        <v>1</v>
      </c>
      <c r="M128" s="586"/>
      <c r="N128" s="570"/>
      <c r="O128" s="592"/>
      <c r="P128" s="953">
        <v>10.5</v>
      </c>
      <c r="Q128" s="954">
        <v>20.5</v>
      </c>
      <c r="R128" s="1042">
        <v>1</v>
      </c>
      <c r="S128" s="953">
        <v>10.5</v>
      </c>
      <c r="T128" s="954">
        <v>20.5</v>
      </c>
      <c r="U128" s="1042">
        <v>1</v>
      </c>
      <c r="V128" s="1253">
        <v>10</v>
      </c>
      <c r="W128" s="1254">
        <v>20</v>
      </c>
      <c r="X128" s="1260">
        <v>1</v>
      </c>
      <c r="Y128" s="441">
        <f t="shared" si="17"/>
        <v>44</v>
      </c>
      <c r="Z128" s="1108"/>
      <c r="AA128" s="5"/>
      <c r="AB128" s="17"/>
      <c r="AC128" s="17"/>
      <c r="AD128" s="17"/>
      <c r="AE128" s="17"/>
      <c r="AF128" s="17"/>
    </row>
    <row r="129" spans="1:32" ht="16.5" customHeight="1">
      <c r="B129" s="2192"/>
      <c r="C129" s="1135" t="s">
        <v>21</v>
      </c>
      <c r="D129" s="424"/>
      <c r="E129" s="198"/>
      <c r="F129" s="431"/>
      <c r="G129" s="850">
        <v>10.5</v>
      </c>
      <c r="H129" s="851">
        <v>20.5</v>
      </c>
      <c r="I129" s="1019">
        <v>1</v>
      </c>
      <c r="J129" s="850">
        <v>11.5</v>
      </c>
      <c r="K129" s="851">
        <v>20.5</v>
      </c>
      <c r="L129" s="1019">
        <v>1</v>
      </c>
      <c r="M129" s="850">
        <v>10.5</v>
      </c>
      <c r="N129" s="851">
        <v>20.5</v>
      </c>
      <c r="O129" s="1019">
        <v>1</v>
      </c>
      <c r="P129" s="850">
        <v>10.5</v>
      </c>
      <c r="Q129" s="851">
        <v>20.5</v>
      </c>
      <c r="R129" s="1019">
        <v>1</v>
      </c>
      <c r="S129" s="635">
        <v>7</v>
      </c>
      <c r="T129" s="636">
        <v>17</v>
      </c>
      <c r="U129" s="651">
        <v>1</v>
      </c>
      <c r="V129" s="173"/>
      <c r="W129" s="174"/>
      <c r="X129" s="175"/>
      <c r="Y129" s="441">
        <f t="shared" si="17"/>
        <v>44</v>
      </c>
      <c r="Z129" s="1106"/>
      <c r="AA129" s="6"/>
      <c r="AB129" s="17"/>
      <c r="AC129" s="17"/>
      <c r="AD129" s="17"/>
      <c r="AE129" s="17"/>
      <c r="AF129" s="17"/>
    </row>
    <row r="130" spans="1:32" ht="16.5" customHeight="1">
      <c r="A130">
        <v>10</v>
      </c>
      <c r="B130" s="2049"/>
      <c r="C130" s="205" t="s">
        <v>53</v>
      </c>
      <c r="D130" s="939">
        <v>8</v>
      </c>
      <c r="E130" s="940">
        <v>18</v>
      </c>
      <c r="F130" s="974">
        <v>1</v>
      </c>
      <c r="G130" s="407">
        <v>10.5</v>
      </c>
      <c r="H130" s="196">
        <v>20.5</v>
      </c>
      <c r="I130" s="408">
        <v>1</v>
      </c>
      <c r="J130" s="193"/>
      <c r="K130" s="194"/>
      <c r="L130" s="195"/>
      <c r="M130" s="1285">
        <v>11.5</v>
      </c>
      <c r="N130" s="947">
        <v>20.5</v>
      </c>
      <c r="O130" s="948">
        <v>1</v>
      </c>
      <c r="P130" s="193"/>
      <c r="Q130" s="194"/>
      <c r="R130" s="195"/>
      <c r="S130" s="1285">
        <v>10.5</v>
      </c>
      <c r="T130" s="947">
        <v>20.5</v>
      </c>
      <c r="U130" s="948">
        <v>1</v>
      </c>
      <c r="V130" s="744">
        <v>10</v>
      </c>
      <c r="W130" s="745">
        <v>20</v>
      </c>
      <c r="X130" s="1282">
        <v>1</v>
      </c>
      <c r="Y130" s="458">
        <f t="shared" si="17"/>
        <v>44</v>
      </c>
      <c r="Z130" s="1109"/>
      <c r="AA130" s="14"/>
      <c r="AB130" s="17"/>
      <c r="AC130" s="17"/>
      <c r="AD130" s="17"/>
      <c r="AE130" s="17"/>
      <c r="AF130" s="17"/>
    </row>
    <row r="131" spans="1:32" ht="16.5" customHeight="1">
      <c r="B131" s="1830" t="s">
        <v>171</v>
      </c>
      <c r="C131" s="1111" t="s">
        <v>25</v>
      </c>
      <c r="D131" s="586"/>
      <c r="E131" s="570"/>
      <c r="F131" s="592"/>
      <c r="G131" s="632">
        <v>7</v>
      </c>
      <c r="H131" s="633">
        <v>16</v>
      </c>
      <c r="I131" s="862">
        <v>1</v>
      </c>
      <c r="J131" s="586"/>
      <c r="K131" s="570"/>
      <c r="L131" s="592"/>
      <c r="M131" s="953">
        <v>10.5</v>
      </c>
      <c r="N131" s="954">
        <v>20.5</v>
      </c>
      <c r="O131" s="1042">
        <v>1</v>
      </c>
      <c r="P131" s="953">
        <v>10.5</v>
      </c>
      <c r="Q131" s="954">
        <v>20.5</v>
      </c>
      <c r="R131" s="1042">
        <v>1</v>
      </c>
      <c r="S131" s="953">
        <v>10.5</v>
      </c>
      <c r="T131" s="954">
        <v>20.5</v>
      </c>
      <c r="U131" s="1042">
        <v>1</v>
      </c>
      <c r="V131" s="1253">
        <v>10</v>
      </c>
      <c r="W131" s="1254">
        <v>20</v>
      </c>
      <c r="X131" s="1260">
        <v>1</v>
      </c>
      <c r="Y131" s="861">
        <f t="shared" si="17"/>
        <v>44</v>
      </c>
      <c r="Z131" s="1123"/>
      <c r="AA131" s="368"/>
      <c r="AB131" s="17"/>
      <c r="AC131" s="17"/>
      <c r="AD131" s="17"/>
      <c r="AE131" s="17"/>
      <c r="AF131" s="17"/>
    </row>
    <row r="132" spans="1:32" ht="16.5" customHeight="1">
      <c r="B132" s="1831"/>
      <c r="C132" s="695" t="s">
        <v>27</v>
      </c>
      <c r="D132" s="850">
        <v>10</v>
      </c>
      <c r="E132" s="851">
        <v>20</v>
      </c>
      <c r="F132" s="1019">
        <v>1</v>
      </c>
      <c r="G132" s="1101"/>
      <c r="H132" s="1102"/>
      <c r="I132" s="1103"/>
      <c r="J132" s="850">
        <v>10.5</v>
      </c>
      <c r="K132" s="851">
        <v>20.5</v>
      </c>
      <c r="L132" s="1019">
        <v>1</v>
      </c>
      <c r="M132" s="424"/>
      <c r="N132" s="198"/>
      <c r="O132" s="431"/>
      <c r="P132" s="186">
        <v>11.5</v>
      </c>
      <c r="Q132" s="187">
        <v>20.5</v>
      </c>
      <c r="R132" s="188">
        <v>1</v>
      </c>
      <c r="S132" s="850">
        <v>10.5</v>
      </c>
      <c r="T132" s="851">
        <v>20.5</v>
      </c>
      <c r="U132" s="1019">
        <v>1</v>
      </c>
      <c r="V132" s="853">
        <v>8</v>
      </c>
      <c r="W132" s="854">
        <v>18</v>
      </c>
      <c r="X132" s="1013">
        <v>1</v>
      </c>
      <c r="Y132" s="735">
        <f t="shared" si="17"/>
        <v>44</v>
      </c>
      <c r="Z132" s="1124"/>
      <c r="AA132" s="6"/>
      <c r="AB132" s="17"/>
      <c r="AC132" s="17"/>
      <c r="AD132" s="17"/>
      <c r="AE132" s="17"/>
      <c r="AF132" s="17"/>
    </row>
    <row r="133" spans="1:32" ht="16.5" customHeight="1">
      <c r="B133" s="1831"/>
      <c r="C133" s="695" t="s">
        <v>31</v>
      </c>
      <c r="D133" s="424"/>
      <c r="E133" s="198"/>
      <c r="F133" s="431"/>
      <c r="G133" s="850">
        <v>10.5</v>
      </c>
      <c r="H133" s="851">
        <v>20.5</v>
      </c>
      <c r="I133" s="1019">
        <v>1</v>
      </c>
      <c r="J133" s="635">
        <v>7</v>
      </c>
      <c r="K133" s="636">
        <v>16</v>
      </c>
      <c r="L133" s="651">
        <v>1</v>
      </c>
      <c r="M133" s="850">
        <v>10.5</v>
      </c>
      <c r="N133" s="851">
        <v>20.5</v>
      </c>
      <c r="O133" s="1019">
        <v>1</v>
      </c>
      <c r="P133" s="424"/>
      <c r="Q133" s="198"/>
      <c r="R133" s="431"/>
      <c r="S133" s="850">
        <v>10.5</v>
      </c>
      <c r="T133" s="851">
        <v>20.5</v>
      </c>
      <c r="U133" s="1019">
        <v>1</v>
      </c>
      <c r="V133" s="752">
        <v>10</v>
      </c>
      <c r="W133" s="753">
        <v>20</v>
      </c>
      <c r="X133" s="1262">
        <v>1</v>
      </c>
      <c r="Y133" s="735">
        <f t="shared" si="17"/>
        <v>44</v>
      </c>
      <c r="Z133" s="1124"/>
      <c r="AA133" s="6"/>
      <c r="AB133" s="17"/>
      <c r="AC133" s="30"/>
      <c r="AD133" s="17"/>
      <c r="AE133" s="17"/>
      <c r="AF133" s="17"/>
    </row>
    <row r="134" spans="1:32" ht="16.5" customHeight="1">
      <c r="B134" s="1831"/>
      <c r="C134" s="695" t="s">
        <v>55</v>
      </c>
      <c r="D134" s="424"/>
      <c r="E134" s="198"/>
      <c r="F134" s="431"/>
      <c r="G134" s="850">
        <v>10.5</v>
      </c>
      <c r="H134" s="851">
        <v>20.5</v>
      </c>
      <c r="I134" s="1019">
        <v>1</v>
      </c>
      <c r="J134" s="850">
        <v>10.5</v>
      </c>
      <c r="K134" s="851">
        <v>20.5</v>
      </c>
      <c r="L134" s="1019">
        <v>1</v>
      </c>
      <c r="M134" s="635">
        <v>7</v>
      </c>
      <c r="N134" s="636">
        <v>12</v>
      </c>
      <c r="O134" s="651"/>
      <c r="P134" s="850">
        <v>11.5</v>
      </c>
      <c r="Q134" s="851">
        <v>20.5</v>
      </c>
      <c r="R134" s="1019">
        <v>1</v>
      </c>
      <c r="S134" s="635">
        <v>7</v>
      </c>
      <c r="T134" s="636">
        <v>17</v>
      </c>
      <c r="U134" s="651">
        <v>1</v>
      </c>
      <c r="V134" s="173"/>
      <c r="W134" s="174"/>
      <c r="X134" s="175"/>
      <c r="Y134" s="735">
        <f t="shared" si="17"/>
        <v>40</v>
      </c>
      <c r="Z134" s="1124"/>
      <c r="AA134" s="6"/>
      <c r="AB134" s="17"/>
      <c r="AC134" s="17"/>
      <c r="AD134" s="17"/>
      <c r="AE134" s="17"/>
      <c r="AF134" s="17"/>
    </row>
    <row r="135" spans="1:32" ht="16.5" customHeight="1">
      <c r="B135" s="1831"/>
      <c r="C135" s="695" t="s">
        <v>172</v>
      </c>
      <c r="D135" s="424"/>
      <c r="E135" s="198"/>
      <c r="F135" s="431"/>
      <c r="G135" s="850">
        <v>10.5</v>
      </c>
      <c r="H135" s="851">
        <v>20.5</v>
      </c>
      <c r="I135" s="1019">
        <v>1</v>
      </c>
      <c r="J135" s="635">
        <v>7</v>
      </c>
      <c r="K135" s="636">
        <v>16</v>
      </c>
      <c r="L135" s="651">
        <v>1</v>
      </c>
      <c r="M135" s="850">
        <v>10.5</v>
      </c>
      <c r="N135" s="851">
        <v>20.5</v>
      </c>
      <c r="O135" s="1019">
        <v>1</v>
      </c>
      <c r="P135" s="850">
        <v>10.5</v>
      </c>
      <c r="Q135" s="851">
        <v>20.5</v>
      </c>
      <c r="R135" s="1019">
        <v>1</v>
      </c>
      <c r="S135" s="635">
        <v>7</v>
      </c>
      <c r="T135" s="636">
        <v>17</v>
      </c>
      <c r="U135" s="651">
        <v>1</v>
      </c>
      <c r="V135" s="173"/>
      <c r="W135" s="174"/>
      <c r="X135" s="175"/>
      <c r="Y135" s="735">
        <f t="shared" si="17"/>
        <v>44</v>
      </c>
      <c r="Z135" s="1124"/>
      <c r="AA135" s="6"/>
      <c r="AB135" s="17"/>
      <c r="AC135" s="17"/>
      <c r="AD135" s="17"/>
      <c r="AE135" s="17"/>
      <c r="AF135" s="17"/>
    </row>
    <row r="136" spans="1:32" ht="16.5" customHeight="1">
      <c r="B136" s="1831"/>
      <c r="C136" s="695" t="s">
        <v>87</v>
      </c>
      <c r="D136" s="850">
        <v>10</v>
      </c>
      <c r="E136" s="851">
        <v>20</v>
      </c>
      <c r="F136" s="1019">
        <v>1</v>
      </c>
      <c r="G136" s="635">
        <v>7</v>
      </c>
      <c r="H136" s="636">
        <v>16</v>
      </c>
      <c r="I136" s="651">
        <v>1</v>
      </c>
      <c r="J136" s="850">
        <v>10.5</v>
      </c>
      <c r="K136" s="851">
        <v>20.5</v>
      </c>
      <c r="L136" s="1019">
        <v>1</v>
      </c>
      <c r="M136" s="424"/>
      <c r="N136" s="198"/>
      <c r="O136" s="431"/>
      <c r="P136" s="424"/>
      <c r="Q136" s="198"/>
      <c r="R136" s="431"/>
      <c r="S136" s="850">
        <v>10.5</v>
      </c>
      <c r="T136" s="851">
        <v>20.5</v>
      </c>
      <c r="U136" s="1019">
        <v>1</v>
      </c>
      <c r="V136" s="752">
        <v>10</v>
      </c>
      <c r="W136" s="753">
        <v>20</v>
      </c>
      <c r="X136" s="1262">
        <v>1</v>
      </c>
      <c r="Y136" s="735">
        <f t="shared" si="17"/>
        <v>44</v>
      </c>
      <c r="Z136" s="1124"/>
      <c r="AA136" s="6"/>
      <c r="AB136" s="17"/>
      <c r="AC136" s="17"/>
      <c r="AD136" s="17"/>
      <c r="AE136" s="17"/>
      <c r="AF136" s="17"/>
    </row>
    <row r="137" spans="1:32" ht="16.5" customHeight="1">
      <c r="B137" s="1831"/>
      <c r="C137" s="695" t="s">
        <v>104</v>
      </c>
      <c r="D137" s="424"/>
      <c r="E137" s="198"/>
      <c r="F137" s="431"/>
      <c r="G137" s="424"/>
      <c r="H137" s="198"/>
      <c r="I137" s="431"/>
      <c r="J137" s="850">
        <v>11.5</v>
      </c>
      <c r="K137" s="851">
        <v>20.5</v>
      </c>
      <c r="L137" s="1019">
        <v>1</v>
      </c>
      <c r="M137" s="1039">
        <v>7</v>
      </c>
      <c r="N137" s="1040">
        <v>17</v>
      </c>
      <c r="O137" s="1041">
        <v>1</v>
      </c>
      <c r="P137" s="635">
        <v>7</v>
      </c>
      <c r="Q137" s="636">
        <v>12</v>
      </c>
      <c r="R137" s="651"/>
      <c r="S137" s="850">
        <v>10.5</v>
      </c>
      <c r="T137" s="851">
        <v>20.5</v>
      </c>
      <c r="U137" s="1019">
        <v>1</v>
      </c>
      <c r="V137" s="752">
        <v>10</v>
      </c>
      <c r="W137" s="753">
        <v>20</v>
      </c>
      <c r="X137" s="1262">
        <v>1</v>
      </c>
      <c r="Y137" s="735">
        <f t="shared" si="17"/>
        <v>40</v>
      </c>
      <c r="Z137" s="1124"/>
      <c r="AA137" s="6"/>
      <c r="AB137" s="17"/>
      <c r="AC137" s="17"/>
      <c r="AD137" s="17"/>
      <c r="AE137" s="17"/>
      <c r="AF137" s="17"/>
    </row>
    <row r="138" spans="1:32" ht="16.5" customHeight="1">
      <c r="A138" s="50"/>
      <c r="B138" s="1831"/>
      <c r="C138" s="932" t="s">
        <v>187</v>
      </c>
      <c r="D138" s="1440">
        <v>8</v>
      </c>
      <c r="E138" s="1441">
        <v>18</v>
      </c>
      <c r="F138" s="1442">
        <v>1</v>
      </c>
      <c r="G138" s="1285">
        <v>10.5</v>
      </c>
      <c r="H138" s="947">
        <v>20.5</v>
      </c>
      <c r="I138" s="948">
        <v>1</v>
      </c>
      <c r="J138" s="407">
        <v>10.5</v>
      </c>
      <c r="K138" s="196">
        <v>20.5</v>
      </c>
      <c r="L138" s="408">
        <v>1</v>
      </c>
      <c r="M138" s="193"/>
      <c r="N138" s="194"/>
      <c r="O138" s="195"/>
      <c r="P138" s="939">
        <v>7</v>
      </c>
      <c r="Q138" s="940">
        <v>16</v>
      </c>
      <c r="R138" s="974">
        <v>1</v>
      </c>
      <c r="S138" s="1285">
        <v>10.5</v>
      </c>
      <c r="T138" s="947">
        <v>20.5</v>
      </c>
      <c r="U138" s="948">
        <v>1</v>
      </c>
      <c r="V138" s="211"/>
      <c r="W138" s="212"/>
      <c r="X138" s="307"/>
      <c r="Y138" s="909">
        <f t="shared" si="17"/>
        <v>44</v>
      </c>
      <c r="Z138" s="1307"/>
      <c r="AA138" s="14"/>
      <c r="AB138" s="17"/>
      <c r="AC138" s="17"/>
      <c r="AD138" s="17"/>
      <c r="AE138" s="17"/>
      <c r="AF138" s="17"/>
    </row>
    <row r="139" spans="1:32" ht="16.5" customHeight="1">
      <c r="A139" s="2211"/>
      <c r="B139" s="1830" t="s">
        <v>116</v>
      </c>
      <c r="C139" s="956" t="s">
        <v>32</v>
      </c>
      <c r="D139" s="1520"/>
      <c r="E139" s="1182"/>
      <c r="F139" s="1256"/>
      <c r="G139" s="1187"/>
      <c r="H139" s="1182"/>
      <c r="I139" s="1256"/>
      <c r="J139" s="586"/>
      <c r="K139" s="570"/>
      <c r="L139" s="592"/>
      <c r="M139" s="276"/>
      <c r="N139" s="277"/>
      <c r="O139" s="278"/>
      <c r="P139" s="240">
        <v>16.5</v>
      </c>
      <c r="Q139" s="101">
        <v>20.5</v>
      </c>
      <c r="R139" s="102"/>
      <c r="S139" s="1259">
        <v>15.5</v>
      </c>
      <c r="T139" s="1257">
        <v>20.5</v>
      </c>
      <c r="U139" s="1258">
        <v>1</v>
      </c>
      <c r="V139" s="1253">
        <v>12</v>
      </c>
      <c r="W139" s="1254">
        <v>20</v>
      </c>
      <c r="X139" s="1260">
        <v>1</v>
      </c>
      <c r="Y139" s="441">
        <f t="shared" si="17"/>
        <v>15</v>
      </c>
      <c r="Z139" s="757"/>
      <c r="AA139" s="268"/>
      <c r="AB139" s="17"/>
      <c r="AC139" s="17"/>
      <c r="AD139" s="17"/>
      <c r="AE139" s="17"/>
      <c r="AF139" s="17"/>
    </row>
    <row r="140" spans="1:32" ht="16.5" customHeight="1">
      <c r="A140" s="2212"/>
      <c r="B140" s="1831"/>
      <c r="C140" s="957" t="s">
        <v>89</v>
      </c>
      <c r="D140" s="417"/>
      <c r="E140" s="74"/>
      <c r="F140" s="75"/>
      <c r="G140" s="76"/>
      <c r="H140" s="77"/>
      <c r="I140" s="78"/>
      <c r="J140" s="424"/>
      <c r="K140" s="198"/>
      <c r="L140" s="431"/>
      <c r="M140" s="225"/>
      <c r="N140" s="226"/>
      <c r="O140" s="248"/>
      <c r="P140" s="262"/>
      <c r="Q140" s="171"/>
      <c r="R140" s="172"/>
      <c r="S140" s="749">
        <v>12.5</v>
      </c>
      <c r="T140" s="750">
        <v>20.5</v>
      </c>
      <c r="U140" s="751">
        <v>1</v>
      </c>
      <c r="V140" s="853">
        <v>8</v>
      </c>
      <c r="W140" s="854">
        <v>16</v>
      </c>
      <c r="X140" s="1013">
        <v>1</v>
      </c>
      <c r="Y140" s="1124">
        <f t="shared" si="17"/>
        <v>14</v>
      </c>
      <c r="Z140" s="758"/>
      <c r="AA140" s="55"/>
      <c r="AB140" s="17"/>
      <c r="AC140" s="17"/>
      <c r="AD140" s="17"/>
      <c r="AE140" s="17"/>
      <c r="AF140" s="17"/>
    </row>
    <row r="141" spans="1:32" ht="16.5" customHeight="1">
      <c r="A141" s="2212"/>
      <c r="B141" s="1831"/>
      <c r="C141" s="957" t="s">
        <v>239</v>
      </c>
      <c r="D141" s="1519"/>
      <c r="E141" s="747"/>
      <c r="F141" s="748"/>
      <c r="G141" s="262"/>
      <c r="H141" s="171"/>
      <c r="I141" s="172"/>
      <c r="J141" s="635"/>
      <c r="K141" s="636"/>
      <c r="L141" s="651"/>
      <c r="M141" s="1178"/>
      <c r="N141" s="1145"/>
      <c r="O141" s="1148"/>
      <c r="P141" s="262"/>
      <c r="Q141" s="171"/>
      <c r="R141" s="172"/>
      <c r="S141" s="749">
        <v>13.5</v>
      </c>
      <c r="T141" s="750">
        <v>20.5</v>
      </c>
      <c r="U141" s="751">
        <v>1</v>
      </c>
      <c r="V141" s="752">
        <v>13</v>
      </c>
      <c r="W141" s="753">
        <v>20</v>
      </c>
      <c r="X141" s="1262">
        <v>1</v>
      </c>
      <c r="Y141" s="1124">
        <f t="shared" si="17"/>
        <v>12</v>
      </c>
      <c r="Z141" s="758"/>
      <c r="AA141" s="55"/>
      <c r="AB141" s="50"/>
    </row>
    <row r="142" spans="1:32" ht="16.5" customHeight="1">
      <c r="A142" s="2212"/>
      <c r="B142" s="1831"/>
      <c r="C142" s="957" t="s">
        <v>188</v>
      </c>
      <c r="D142" s="1519"/>
      <c r="E142" s="747"/>
      <c r="F142" s="748"/>
      <c r="G142" s="262"/>
      <c r="H142" s="171"/>
      <c r="I142" s="172"/>
      <c r="J142" s="850"/>
      <c r="K142" s="851"/>
      <c r="L142" s="1019"/>
      <c r="M142" s="746"/>
      <c r="N142" s="747"/>
      <c r="O142" s="748"/>
      <c r="P142" s="731">
        <v>7</v>
      </c>
      <c r="Q142" s="692">
        <v>12</v>
      </c>
      <c r="R142" s="698"/>
      <c r="S142" s="676">
        <v>7</v>
      </c>
      <c r="T142" s="666">
        <v>15</v>
      </c>
      <c r="U142" s="667">
        <v>1</v>
      </c>
      <c r="V142" s="752">
        <v>13</v>
      </c>
      <c r="W142" s="753">
        <v>20</v>
      </c>
      <c r="X142" s="1262">
        <v>1</v>
      </c>
      <c r="Y142" s="1124">
        <f t="shared" si="17"/>
        <v>18</v>
      </c>
      <c r="Z142" s="758"/>
      <c r="AA142" s="55"/>
      <c r="AB142" s="50"/>
    </row>
    <row r="143" spans="1:32" ht="16.5" customHeight="1">
      <c r="A143" s="2212"/>
      <c r="B143" s="1831"/>
      <c r="C143" s="957" t="s">
        <v>169</v>
      </c>
      <c r="D143" s="1519"/>
      <c r="E143" s="747"/>
      <c r="F143" s="748"/>
      <c r="G143" s="225"/>
      <c r="H143" s="226"/>
      <c r="I143" s="248"/>
      <c r="J143" s="850"/>
      <c r="K143" s="851"/>
      <c r="L143" s="1019"/>
      <c r="M143" s="746"/>
      <c r="N143" s="747"/>
      <c r="O143" s="748"/>
      <c r="P143" s="225"/>
      <c r="Q143" s="226"/>
      <c r="R143" s="248"/>
      <c r="S143" s="746">
        <v>11.5</v>
      </c>
      <c r="T143" s="747">
        <v>20.5</v>
      </c>
      <c r="U143" s="748">
        <v>1</v>
      </c>
      <c r="V143" s="853">
        <v>8</v>
      </c>
      <c r="W143" s="854">
        <v>16</v>
      </c>
      <c r="X143" s="1013">
        <v>1</v>
      </c>
      <c r="Y143" s="1124">
        <f t="shared" si="17"/>
        <v>15</v>
      </c>
      <c r="Z143" s="758"/>
      <c r="AA143" s="55"/>
      <c r="AB143" s="50"/>
    </row>
    <row r="144" spans="1:32" ht="16.5" customHeight="1">
      <c r="A144" s="2213"/>
      <c r="B144" s="1831"/>
      <c r="C144" s="957" t="s">
        <v>117</v>
      </c>
      <c r="D144" s="1139"/>
      <c r="E144" s="317"/>
      <c r="F144" s="318"/>
      <c r="G144" s="225"/>
      <c r="H144" s="226"/>
      <c r="I144" s="248"/>
      <c r="J144" s="850"/>
      <c r="K144" s="851"/>
      <c r="L144" s="1019"/>
      <c r="M144" s="225"/>
      <c r="N144" s="226"/>
      <c r="O144" s="248"/>
      <c r="P144" s="225"/>
      <c r="Q144" s="226"/>
      <c r="R144" s="248"/>
      <c r="S144" s="746">
        <v>13.5</v>
      </c>
      <c r="T144" s="747">
        <v>20.5</v>
      </c>
      <c r="U144" s="748">
        <v>1</v>
      </c>
      <c r="V144" s="752">
        <v>12</v>
      </c>
      <c r="W144" s="753">
        <v>20</v>
      </c>
      <c r="X144" s="1262">
        <v>1</v>
      </c>
      <c r="Y144" s="1124">
        <f t="shared" si="17"/>
        <v>13</v>
      </c>
      <c r="Z144" s="758"/>
      <c r="AA144" s="55"/>
      <c r="AB144" s="50"/>
    </row>
    <row r="145" spans="1:28" ht="16.5" customHeight="1">
      <c r="A145" s="50"/>
      <c r="B145" s="1831"/>
      <c r="C145" s="957" t="s">
        <v>214</v>
      </c>
      <c r="D145" s="1284"/>
      <c r="E145" s="851"/>
      <c r="F145" s="1019"/>
      <c r="G145" s="635"/>
      <c r="H145" s="636"/>
      <c r="I145" s="651"/>
      <c r="J145" s="424"/>
      <c r="K145" s="198"/>
      <c r="L145" s="431"/>
      <c r="M145" s="850"/>
      <c r="N145" s="851"/>
      <c r="O145" s="1019"/>
      <c r="P145" s="424"/>
      <c r="Q145" s="198"/>
      <c r="R145" s="431"/>
      <c r="S145" s="850">
        <v>13.5</v>
      </c>
      <c r="T145" s="851">
        <v>20.5</v>
      </c>
      <c r="U145" s="1019">
        <v>1</v>
      </c>
      <c r="V145" s="752">
        <v>13</v>
      </c>
      <c r="W145" s="753">
        <v>20</v>
      </c>
      <c r="X145" s="1262">
        <v>1</v>
      </c>
      <c r="Y145" s="457">
        <f t="shared" si="17"/>
        <v>12</v>
      </c>
      <c r="Z145" s="297"/>
      <c r="AA145" s="55"/>
      <c r="AB145" s="50"/>
    </row>
    <row r="146" spans="1:28" ht="16.5" customHeight="1">
      <c r="A146" s="50"/>
      <c r="B146" s="1831"/>
      <c r="C146" s="957" t="s">
        <v>191</v>
      </c>
      <c r="D146" s="1284"/>
      <c r="E146" s="851"/>
      <c r="F146" s="1019"/>
      <c r="G146" s="424"/>
      <c r="H146" s="198"/>
      <c r="I146" s="431"/>
      <c r="J146" s="424"/>
      <c r="K146" s="198"/>
      <c r="L146" s="431"/>
      <c r="M146" s="186"/>
      <c r="N146" s="187"/>
      <c r="O146" s="188"/>
      <c r="P146" s="850">
        <v>13.5</v>
      </c>
      <c r="Q146" s="851">
        <v>20.5</v>
      </c>
      <c r="R146" s="1019">
        <v>1</v>
      </c>
      <c r="S146" s="635">
        <v>7</v>
      </c>
      <c r="T146" s="636">
        <v>16</v>
      </c>
      <c r="U146" s="651">
        <v>1</v>
      </c>
      <c r="V146" s="752">
        <v>12</v>
      </c>
      <c r="W146" s="753">
        <v>20</v>
      </c>
      <c r="X146" s="1262">
        <v>1</v>
      </c>
      <c r="Y146" s="457">
        <f t="shared" si="17"/>
        <v>21</v>
      </c>
      <c r="Z146" s="297"/>
      <c r="AA146" s="55"/>
      <c r="AB146" s="50"/>
    </row>
    <row r="147" spans="1:28" ht="16.5" customHeight="1">
      <c r="A147" s="50"/>
      <c r="B147" s="1832"/>
      <c r="C147" s="958" t="s">
        <v>252</v>
      </c>
      <c r="D147" s="1414"/>
      <c r="E147" s="1249"/>
      <c r="F147" s="1267"/>
      <c r="G147" s="936"/>
      <c r="H147" s="937"/>
      <c r="I147" s="938"/>
      <c r="J147" s="936"/>
      <c r="K147" s="937"/>
      <c r="L147" s="938"/>
      <c r="M147" s="1044"/>
      <c r="N147" s="1045"/>
      <c r="O147" s="1046"/>
      <c r="P147" s="1266">
        <v>16.5</v>
      </c>
      <c r="Q147" s="1249">
        <v>20.5</v>
      </c>
      <c r="R147" s="1267"/>
      <c r="S147" s="1266">
        <v>14.5</v>
      </c>
      <c r="T147" s="1249">
        <v>20.5</v>
      </c>
      <c r="U147" s="1267">
        <v>1</v>
      </c>
      <c r="V147" s="1270">
        <v>13</v>
      </c>
      <c r="W147" s="1271">
        <v>20</v>
      </c>
      <c r="X147" s="1272">
        <v>1</v>
      </c>
      <c r="Y147" s="500">
        <f t="shared" si="17"/>
        <v>15</v>
      </c>
      <c r="Z147" s="298"/>
      <c r="AA147" s="269"/>
      <c r="AB147" s="50"/>
    </row>
    <row r="148" spans="1:28">
      <c r="B148" s="32"/>
      <c r="C148" s="295"/>
      <c r="D148" s="1883">
        <f t="shared" ref="D148" si="18">COUNT(D125:D146)</f>
        <v>7</v>
      </c>
      <c r="E148" s="1884"/>
      <c r="F148" s="1885"/>
      <c r="G148" s="1836">
        <f t="shared" ref="G148" si="19">COUNT(G125:G146)</f>
        <v>11</v>
      </c>
      <c r="H148" s="1837"/>
      <c r="I148" s="1838"/>
      <c r="J148" s="1836">
        <f>COUNT(J125:J146)</f>
        <v>11</v>
      </c>
      <c r="K148" s="1837"/>
      <c r="L148" s="1838"/>
      <c r="M148" s="1836">
        <f t="shared" ref="M148" si="20">COUNT(M125:M146)</f>
        <v>9</v>
      </c>
      <c r="N148" s="1837"/>
      <c r="O148" s="1838"/>
      <c r="P148" s="1828">
        <f t="shared" ref="P148" si="21">COUNT(P125:P146)</f>
        <v>13</v>
      </c>
      <c r="Q148" s="1829"/>
      <c r="R148" s="1829"/>
      <c r="S148" s="1828">
        <f t="shared" ref="S148" si="22">COUNT(S125:S146)</f>
        <v>21</v>
      </c>
      <c r="T148" s="1829"/>
      <c r="U148" s="1829"/>
      <c r="V148" s="1828">
        <f t="shared" ref="V148" si="23">COUNT(V125:V146)</f>
        <v>17</v>
      </c>
      <c r="W148" s="1829"/>
      <c r="X148" s="1829"/>
      <c r="Y148" s="23"/>
      <c r="Z148" s="23"/>
      <c r="AA148" s="17"/>
    </row>
    <row r="149" spans="1:28">
      <c r="C149" s="50"/>
      <c r="D149" s="2231" t="s">
        <v>265</v>
      </c>
      <c r="E149" s="2232"/>
      <c r="F149" s="2233"/>
      <c r="G149" s="1975" t="s">
        <v>94</v>
      </c>
      <c r="H149" s="1975"/>
      <c r="I149" s="2182"/>
      <c r="J149" s="1954" t="s">
        <v>217</v>
      </c>
      <c r="K149" s="1955"/>
      <c r="L149" s="1956"/>
      <c r="M149" s="2217" t="s">
        <v>133</v>
      </c>
      <c r="N149" s="2218"/>
      <c r="O149" s="2219"/>
      <c r="P149" s="2008" t="s">
        <v>133</v>
      </c>
      <c r="Q149" s="2009"/>
      <c r="R149" s="2009"/>
      <c r="S149" s="1982"/>
      <c r="T149" s="1983"/>
      <c r="U149" s="1983"/>
      <c r="V149" s="1874"/>
      <c r="W149" s="1875"/>
      <c r="X149" s="1876"/>
    </row>
    <row r="150" spans="1:28">
      <c r="C150" s="50"/>
      <c r="D150" s="2234"/>
      <c r="E150" s="2235"/>
      <c r="F150" s="2236"/>
      <c r="G150" s="1976"/>
      <c r="H150" s="1976"/>
      <c r="I150" s="1978"/>
      <c r="J150" s="1977"/>
      <c r="K150" s="1976"/>
      <c r="L150" s="1978"/>
      <c r="M150" s="2042"/>
      <c r="N150" s="2043"/>
      <c r="O150" s="2220"/>
      <c r="P150" s="2042"/>
      <c r="Q150" s="2043"/>
      <c r="R150" s="2043"/>
      <c r="S150" s="1984"/>
      <c r="T150" s="1985"/>
      <c r="U150" s="1985"/>
      <c r="V150" s="2016"/>
      <c r="W150" s="2015"/>
      <c r="X150" s="2017"/>
    </row>
    <row r="151" spans="1:28" ht="15" customHeight="1">
      <c r="B151" s="19" t="s">
        <v>1</v>
      </c>
      <c r="C151" s="19" t="s">
        <v>2</v>
      </c>
      <c r="D151" s="2222" t="s">
        <v>266</v>
      </c>
      <c r="E151" s="2223"/>
      <c r="F151" s="2224"/>
      <c r="G151" s="1881" t="s">
        <v>267</v>
      </c>
      <c r="H151" s="1881"/>
      <c r="I151" s="1882"/>
      <c r="J151" s="1880" t="s">
        <v>268</v>
      </c>
      <c r="K151" s="1881"/>
      <c r="L151" s="1882"/>
      <c r="M151" s="1867" t="s">
        <v>269</v>
      </c>
      <c r="N151" s="1868"/>
      <c r="O151" s="2048"/>
      <c r="P151" s="2225" t="s">
        <v>270</v>
      </c>
      <c r="Q151" s="2226"/>
      <c r="R151" s="2227"/>
      <c r="S151" s="2066" t="s">
        <v>271</v>
      </c>
      <c r="T151" s="2067"/>
      <c r="U151" s="2068"/>
      <c r="V151" s="2094" t="s">
        <v>272</v>
      </c>
      <c r="W151" s="2095"/>
      <c r="X151" s="2221"/>
      <c r="Y151" s="21" t="s">
        <v>5</v>
      </c>
      <c r="Z151" s="1086" t="s">
        <v>6</v>
      </c>
      <c r="AA151" s="18" t="s">
        <v>7</v>
      </c>
    </row>
    <row r="152" spans="1:28" ht="15" customHeight="1">
      <c r="B152" s="924" t="s">
        <v>8</v>
      </c>
      <c r="C152" s="925" t="s">
        <v>9</v>
      </c>
      <c r="D152" s="1533">
        <v>8</v>
      </c>
      <c r="E152" s="1534">
        <v>18</v>
      </c>
      <c r="F152" s="1535">
        <v>1</v>
      </c>
      <c r="G152" s="583">
        <v>10.5</v>
      </c>
      <c r="H152" s="571">
        <v>20.5</v>
      </c>
      <c r="I152" s="587">
        <v>1</v>
      </c>
      <c r="J152" s="1528"/>
      <c r="K152" s="1529"/>
      <c r="L152" s="1530"/>
      <c r="M152" s="1528"/>
      <c r="N152" s="1529"/>
      <c r="O152" s="1531"/>
      <c r="P152" s="1528"/>
      <c r="Q152" s="1529"/>
      <c r="R152" s="1531"/>
      <c r="S152" s="1528"/>
      <c r="T152" s="1529"/>
      <c r="U152" s="1530"/>
      <c r="V152" s="1528"/>
      <c r="W152" s="1529"/>
      <c r="X152" s="1531"/>
      <c r="Y152" s="441">
        <f t="shared" ref="Y152:Y166" si="24">SUM(E152-D152-F152+H152-G152-I152+K152-J152-L152+N152-M152-O152+Q152-P152-R152+T152-S152-U152+W152-V152-X152)</f>
        <v>18</v>
      </c>
      <c r="Z152" s="1105"/>
      <c r="AA152" s="368"/>
    </row>
    <row r="153" spans="1:28">
      <c r="B153" s="2004" t="s">
        <v>11</v>
      </c>
      <c r="C153" s="1315" t="s">
        <v>51</v>
      </c>
      <c r="D153" s="953">
        <v>10.5</v>
      </c>
      <c r="E153" s="954">
        <v>20.5</v>
      </c>
      <c r="F153" s="955">
        <v>1</v>
      </c>
      <c r="G153" s="1301">
        <v>10.5</v>
      </c>
      <c r="H153" s="954">
        <v>20.5</v>
      </c>
      <c r="I153" s="1042">
        <v>1</v>
      </c>
      <c r="J153" s="953"/>
      <c r="K153" s="954"/>
      <c r="L153" s="1042"/>
      <c r="M153" s="632"/>
      <c r="N153" s="633"/>
      <c r="O153" s="634"/>
      <c r="P153" s="953"/>
      <c r="Q153" s="954"/>
      <c r="R153" s="955"/>
      <c r="S153" s="586"/>
      <c r="T153" s="570"/>
      <c r="U153" s="592"/>
      <c r="V153" s="586"/>
      <c r="W153" s="570"/>
      <c r="X153" s="890"/>
      <c r="Y153" s="441">
        <f t="shared" si="24"/>
        <v>18</v>
      </c>
      <c r="Z153" s="1105"/>
      <c r="AA153" s="368"/>
    </row>
    <row r="154" spans="1:28">
      <c r="B154" s="2191"/>
      <c r="C154" s="1234" t="s">
        <v>14</v>
      </c>
      <c r="D154" s="606">
        <v>11.5</v>
      </c>
      <c r="E154" s="607">
        <v>20.5</v>
      </c>
      <c r="F154" s="608">
        <v>1</v>
      </c>
      <c r="G154" s="1015">
        <v>7</v>
      </c>
      <c r="H154" s="848">
        <v>17</v>
      </c>
      <c r="I154" s="1016">
        <v>1</v>
      </c>
      <c r="J154" s="936"/>
      <c r="K154" s="937"/>
      <c r="L154" s="938"/>
      <c r="M154" s="1266"/>
      <c r="N154" s="1249"/>
      <c r="O154" s="1292"/>
      <c r="P154" s="936"/>
      <c r="Q154" s="937"/>
      <c r="R154" s="1120"/>
      <c r="S154" s="1266"/>
      <c r="T154" s="1249"/>
      <c r="U154" s="1267"/>
      <c r="V154" s="1266"/>
      <c r="W154" s="1249"/>
      <c r="X154" s="1292"/>
      <c r="Y154" s="458">
        <f t="shared" si="24"/>
        <v>17</v>
      </c>
      <c r="Z154" s="1109"/>
      <c r="AA154" s="14"/>
    </row>
    <row r="155" spans="1:28">
      <c r="B155" s="2192"/>
      <c r="C155" s="1135" t="s">
        <v>28</v>
      </c>
      <c r="D155" s="1085"/>
      <c r="E155" s="325"/>
      <c r="F155" s="372"/>
      <c r="G155" s="1303">
        <v>11.5</v>
      </c>
      <c r="H155" s="1290">
        <v>20.5</v>
      </c>
      <c r="I155" s="1291">
        <v>1</v>
      </c>
      <c r="J155" s="1208"/>
      <c r="K155" s="1206"/>
      <c r="L155" s="1207"/>
      <c r="M155" s="1085"/>
      <c r="N155" s="325"/>
      <c r="O155" s="372"/>
      <c r="P155" s="1289"/>
      <c r="Q155" s="1290"/>
      <c r="R155" s="1302"/>
      <c r="S155" s="1289"/>
      <c r="T155" s="1290"/>
      <c r="U155" s="1291"/>
      <c r="V155" s="1289"/>
      <c r="W155" s="1290"/>
      <c r="X155" s="1302"/>
      <c r="Y155" s="23">
        <f t="shared" si="24"/>
        <v>8</v>
      </c>
      <c r="Z155" s="1108"/>
      <c r="AA155" s="5"/>
    </row>
    <row r="156" spans="1:28">
      <c r="B156" s="2192"/>
      <c r="C156" s="1135" t="s">
        <v>21</v>
      </c>
      <c r="D156" s="424"/>
      <c r="E156" s="198"/>
      <c r="F156" s="426"/>
      <c r="G156" s="191">
        <v>10.5</v>
      </c>
      <c r="H156" s="187">
        <v>20.5</v>
      </c>
      <c r="I156" s="188">
        <v>1</v>
      </c>
      <c r="J156" s="850"/>
      <c r="K156" s="851"/>
      <c r="L156" s="1019"/>
      <c r="M156" s="850"/>
      <c r="N156" s="851"/>
      <c r="O156" s="1304"/>
      <c r="P156" s="635"/>
      <c r="Q156" s="636"/>
      <c r="R156" s="637"/>
      <c r="S156" s="850"/>
      <c r="T156" s="851"/>
      <c r="U156" s="1019"/>
      <c r="V156" s="424"/>
      <c r="W156" s="198"/>
      <c r="X156" s="426"/>
      <c r="Y156" s="457">
        <f t="shared" si="24"/>
        <v>9</v>
      </c>
      <c r="Z156" s="1106"/>
      <c r="AA156" s="6"/>
    </row>
    <row r="157" spans="1:28">
      <c r="B157" s="2049"/>
      <c r="C157" s="205" t="s">
        <v>53</v>
      </c>
      <c r="D157" s="1266">
        <v>10.5</v>
      </c>
      <c r="E157" s="1249">
        <v>20.5</v>
      </c>
      <c r="F157" s="1292">
        <v>1</v>
      </c>
      <c r="G157" s="945"/>
      <c r="H157" s="937"/>
      <c r="I157" s="938"/>
      <c r="J157" s="1266"/>
      <c r="K157" s="1249"/>
      <c r="L157" s="1267"/>
      <c r="M157" s="936"/>
      <c r="N157" s="937"/>
      <c r="O157" s="1120"/>
      <c r="P157" s="1266"/>
      <c r="Q157" s="1249"/>
      <c r="R157" s="1292"/>
      <c r="S157" s="847"/>
      <c r="T157" s="848"/>
      <c r="U157" s="1016"/>
      <c r="V157" s="1266"/>
      <c r="W157" s="1249"/>
      <c r="X157" s="1292"/>
      <c r="Y157" s="458">
        <f t="shared" si="24"/>
        <v>9</v>
      </c>
      <c r="Z157" s="1109"/>
      <c r="AA157" s="14"/>
    </row>
    <row r="158" spans="1:28">
      <c r="B158" s="1830" t="s">
        <v>171</v>
      </c>
      <c r="C158" s="1111" t="s">
        <v>25</v>
      </c>
      <c r="D158" s="1289">
        <v>11.5</v>
      </c>
      <c r="E158" s="1290">
        <v>20.5</v>
      </c>
      <c r="F158" s="1302">
        <v>1</v>
      </c>
      <c r="G158" s="1532"/>
      <c r="H158" s="325"/>
      <c r="I158" s="870"/>
      <c r="J158" s="1208"/>
      <c r="K158" s="1206"/>
      <c r="L158" s="1207"/>
      <c r="M158" s="1289"/>
      <c r="N158" s="1290"/>
      <c r="O158" s="1302"/>
      <c r="P158" s="1289"/>
      <c r="Q158" s="1290"/>
      <c r="R158" s="1302"/>
      <c r="S158" s="1289"/>
      <c r="T158" s="1290"/>
      <c r="U158" s="1291"/>
      <c r="V158" s="1085"/>
      <c r="W158" s="325"/>
      <c r="X158" s="372"/>
      <c r="Y158" s="861">
        <f t="shared" si="24"/>
        <v>8</v>
      </c>
      <c r="Z158" s="1123"/>
      <c r="AA158" s="368"/>
    </row>
    <row r="159" spans="1:28">
      <c r="B159" s="1831"/>
      <c r="C159" s="695" t="s">
        <v>27</v>
      </c>
      <c r="D159" s="424"/>
      <c r="E159" s="198"/>
      <c r="F159" s="426"/>
      <c r="G159" s="1538">
        <v>11.5</v>
      </c>
      <c r="H159" s="1306">
        <v>20.5</v>
      </c>
      <c r="I159" s="1526">
        <v>1</v>
      </c>
      <c r="J159" s="424"/>
      <c r="K159" s="198"/>
      <c r="L159" s="431"/>
      <c r="M159" s="635"/>
      <c r="N159" s="636"/>
      <c r="O159" s="637"/>
      <c r="P159" s="186"/>
      <c r="Q159" s="187"/>
      <c r="R159" s="192"/>
      <c r="S159" s="850"/>
      <c r="T159" s="851"/>
      <c r="U159" s="1019"/>
      <c r="V159" s="635"/>
      <c r="W159" s="636"/>
      <c r="X159" s="637"/>
      <c r="Y159" s="735">
        <f t="shared" si="24"/>
        <v>8</v>
      </c>
      <c r="Z159" s="1124"/>
      <c r="AA159" s="6"/>
    </row>
    <row r="160" spans="1:28">
      <c r="B160" s="1831"/>
      <c r="C160" s="695" t="s">
        <v>31</v>
      </c>
      <c r="D160" s="635">
        <v>7</v>
      </c>
      <c r="E160" s="636">
        <v>17</v>
      </c>
      <c r="F160" s="637">
        <v>1</v>
      </c>
      <c r="G160" s="425"/>
      <c r="H160" s="198"/>
      <c r="I160" s="431"/>
      <c r="J160" s="850"/>
      <c r="K160" s="851"/>
      <c r="L160" s="1019"/>
      <c r="M160" s="850"/>
      <c r="N160" s="851"/>
      <c r="O160" s="1304"/>
      <c r="P160" s="850"/>
      <c r="Q160" s="851"/>
      <c r="R160" s="1304"/>
      <c r="S160" s="850"/>
      <c r="T160" s="851"/>
      <c r="U160" s="1019"/>
      <c r="V160" s="424"/>
      <c r="W160" s="198"/>
      <c r="X160" s="426"/>
      <c r="Y160" s="735">
        <f t="shared" si="24"/>
        <v>9</v>
      </c>
      <c r="Z160" s="1124"/>
      <c r="AA160" s="6"/>
    </row>
    <row r="161" spans="1:27">
      <c r="B161" s="1831"/>
      <c r="C161" s="695" t="s">
        <v>55</v>
      </c>
      <c r="D161" s="424"/>
      <c r="E161" s="198"/>
      <c r="F161" s="426"/>
      <c r="G161" s="997">
        <v>7</v>
      </c>
      <c r="H161" s="636">
        <v>17</v>
      </c>
      <c r="I161" s="651">
        <v>1</v>
      </c>
      <c r="J161" s="850"/>
      <c r="K161" s="851"/>
      <c r="L161" s="1019"/>
      <c r="M161" s="424"/>
      <c r="N161" s="198"/>
      <c r="O161" s="426"/>
      <c r="P161" s="635"/>
      <c r="Q161" s="636"/>
      <c r="R161" s="637"/>
      <c r="S161" s="850"/>
      <c r="T161" s="851"/>
      <c r="U161" s="1019"/>
      <c r="V161" s="850"/>
      <c r="W161" s="851"/>
      <c r="X161" s="1304"/>
      <c r="Y161" s="735">
        <f t="shared" si="24"/>
        <v>9</v>
      </c>
      <c r="Z161" s="1124"/>
      <c r="AA161" s="6"/>
    </row>
    <row r="162" spans="1:27">
      <c r="B162" s="1831"/>
      <c r="C162" s="695" t="s">
        <v>172</v>
      </c>
      <c r="D162" s="186">
        <v>10.5</v>
      </c>
      <c r="E162" s="187">
        <v>20.5</v>
      </c>
      <c r="F162" s="192">
        <v>1</v>
      </c>
      <c r="G162" s="997">
        <v>7</v>
      </c>
      <c r="H162" s="636">
        <v>17</v>
      </c>
      <c r="I162" s="651">
        <v>1</v>
      </c>
      <c r="J162" s="850"/>
      <c r="K162" s="851"/>
      <c r="L162" s="1019"/>
      <c r="M162" s="850"/>
      <c r="N162" s="851"/>
      <c r="O162" s="1304"/>
      <c r="P162" s="424"/>
      <c r="Q162" s="198"/>
      <c r="R162" s="426"/>
      <c r="S162" s="850"/>
      <c r="T162" s="851"/>
      <c r="U162" s="1019"/>
      <c r="V162" s="424"/>
      <c r="W162" s="198"/>
      <c r="X162" s="426"/>
      <c r="Y162" s="735">
        <f t="shared" si="24"/>
        <v>18</v>
      </c>
      <c r="Z162" s="1124"/>
      <c r="AA162" s="6"/>
    </row>
    <row r="163" spans="1:27">
      <c r="B163" s="1831"/>
      <c r="C163" s="695" t="s">
        <v>87</v>
      </c>
      <c r="D163" s="850">
        <v>11.5</v>
      </c>
      <c r="E163" s="851">
        <v>20.5</v>
      </c>
      <c r="F163" s="1304">
        <v>1</v>
      </c>
      <c r="G163" s="1284">
        <v>10.5</v>
      </c>
      <c r="H163" s="851">
        <v>20.5</v>
      </c>
      <c r="I163" s="1019">
        <v>1</v>
      </c>
      <c r="J163" s="424"/>
      <c r="K163" s="198"/>
      <c r="L163" s="431"/>
      <c r="M163" s="635"/>
      <c r="N163" s="636"/>
      <c r="O163" s="637"/>
      <c r="P163" s="850"/>
      <c r="Q163" s="851"/>
      <c r="R163" s="1304"/>
      <c r="S163" s="635"/>
      <c r="T163" s="636"/>
      <c r="U163" s="651"/>
      <c r="V163" s="424"/>
      <c r="W163" s="198"/>
      <c r="X163" s="426"/>
      <c r="Y163" s="735">
        <f t="shared" si="24"/>
        <v>17</v>
      </c>
      <c r="Z163" s="1124"/>
      <c r="AA163" s="6"/>
    </row>
    <row r="164" spans="1:27">
      <c r="B164" s="1831"/>
      <c r="C164" s="1539" t="s">
        <v>104</v>
      </c>
      <c r="D164" s="424">
        <v>7</v>
      </c>
      <c r="E164" s="198">
        <v>17</v>
      </c>
      <c r="F164" s="426">
        <v>1</v>
      </c>
      <c r="G164" s="425"/>
      <c r="H164" s="198"/>
      <c r="I164" s="431"/>
      <c r="J164" s="424"/>
      <c r="K164" s="198"/>
      <c r="L164" s="431"/>
      <c r="M164" s="424"/>
      <c r="N164" s="198"/>
      <c r="O164" s="426"/>
      <c r="P164" s="424"/>
      <c r="Q164" s="198"/>
      <c r="R164" s="426"/>
      <c r="S164" s="424"/>
      <c r="T164" s="198"/>
      <c r="U164" s="431"/>
      <c r="V164" s="424"/>
      <c r="W164" s="198"/>
      <c r="X164" s="426"/>
      <c r="Y164" s="1540">
        <f t="shared" si="24"/>
        <v>9</v>
      </c>
      <c r="Z164" s="1541"/>
      <c r="AA164" s="1542"/>
    </row>
    <row r="165" spans="1:27">
      <c r="B165" s="1831"/>
      <c r="C165" s="932" t="s">
        <v>187</v>
      </c>
      <c r="D165" s="193"/>
      <c r="E165" s="194"/>
      <c r="F165" s="1525"/>
      <c r="G165" s="605"/>
      <c r="H165" s="194"/>
      <c r="I165" s="195"/>
      <c r="J165" s="1285"/>
      <c r="K165" s="947"/>
      <c r="L165" s="948"/>
      <c r="M165" s="1285"/>
      <c r="N165" s="947"/>
      <c r="O165" s="1305"/>
      <c r="P165" s="939"/>
      <c r="Q165" s="940"/>
      <c r="R165" s="941"/>
      <c r="S165" s="939"/>
      <c r="T165" s="940"/>
      <c r="U165" s="974"/>
      <c r="V165" s="1285"/>
      <c r="W165" s="947"/>
      <c r="X165" s="1305"/>
      <c r="Y165" s="909">
        <f t="shared" si="24"/>
        <v>0</v>
      </c>
      <c r="Z165" s="1307"/>
      <c r="AA165" s="14"/>
    </row>
    <row r="166" spans="1:27">
      <c r="A166" s="50"/>
      <c r="B166" s="1830" t="s">
        <v>116</v>
      </c>
      <c r="C166" s="694" t="s">
        <v>32</v>
      </c>
      <c r="D166" s="1443">
        <v>7</v>
      </c>
      <c r="E166" s="1444">
        <v>12</v>
      </c>
      <c r="F166" s="1536"/>
      <c r="G166" s="1520">
        <v>15.5</v>
      </c>
      <c r="H166" s="1182">
        <v>20.5</v>
      </c>
      <c r="I166" s="1256"/>
      <c r="J166" s="586"/>
      <c r="K166" s="570"/>
      <c r="L166" s="890"/>
      <c r="M166" s="953">
        <v>12</v>
      </c>
      <c r="N166" s="954">
        <v>20</v>
      </c>
      <c r="O166" s="955">
        <v>1</v>
      </c>
      <c r="P166" s="953">
        <v>12</v>
      </c>
      <c r="Q166" s="954">
        <v>20</v>
      </c>
      <c r="R166" s="955">
        <v>1</v>
      </c>
      <c r="S166" s="953">
        <v>13.5</v>
      </c>
      <c r="T166" s="954">
        <v>20.5</v>
      </c>
      <c r="U166" s="1042"/>
      <c r="V166" s="953">
        <v>13</v>
      </c>
      <c r="W166" s="954">
        <v>20</v>
      </c>
      <c r="X166" s="955">
        <v>1</v>
      </c>
      <c r="Y166" s="3">
        <f t="shared" si="24"/>
        <v>37</v>
      </c>
      <c r="Z166" s="136"/>
      <c r="AA166" s="1308"/>
    </row>
    <row r="167" spans="1:27">
      <c r="A167" s="50"/>
      <c r="B167" s="1831"/>
      <c r="C167" s="695" t="s">
        <v>89</v>
      </c>
      <c r="D167" s="225"/>
      <c r="E167" s="226"/>
      <c r="F167" s="430"/>
      <c r="G167" s="1486">
        <v>16.5</v>
      </c>
      <c r="H167" s="750">
        <v>20.5</v>
      </c>
      <c r="I167" s="751"/>
      <c r="J167" s="424"/>
      <c r="K167" s="198"/>
      <c r="L167" s="426"/>
      <c r="M167" s="850">
        <v>14</v>
      </c>
      <c r="N167" s="851">
        <v>20</v>
      </c>
      <c r="O167" s="1304">
        <v>1</v>
      </c>
      <c r="P167" s="850">
        <v>13</v>
      </c>
      <c r="Q167" s="851">
        <v>20</v>
      </c>
      <c r="R167" s="1304">
        <v>1</v>
      </c>
      <c r="S167" s="850">
        <v>14.5</v>
      </c>
      <c r="T167" s="851">
        <v>20.5</v>
      </c>
      <c r="U167" s="1019">
        <v>1</v>
      </c>
      <c r="V167" s="850">
        <v>12</v>
      </c>
      <c r="W167" s="851">
        <v>20</v>
      </c>
      <c r="X167" s="1304">
        <v>1</v>
      </c>
      <c r="Y167" s="3">
        <f t="shared" ref="Y167:Y174" si="25">SUM(E167-D167-F167+H167-G167-I167+K167-J167-L167+N167-M167-O167+Q167-P167-R167+T167-S167-U167+W167-V167-X167)</f>
        <v>27</v>
      </c>
      <c r="Z167" s="74"/>
      <c r="AA167" s="1309"/>
    </row>
    <row r="168" spans="1:27">
      <c r="A168" s="50"/>
      <c r="B168" s="1831"/>
      <c r="C168" s="695" t="s">
        <v>239</v>
      </c>
      <c r="D168" s="225"/>
      <c r="E168" s="226"/>
      <c r="F168" s="430"/>
      <c r="G168" s="1486">
        <v>16.5</v>
      </c>
      <c r="H168" s="750">
        <v>20.5</v>
      </c>
      <c r="I168" s="751"/>
      <c r="J168" s="424"/>
      <c r="K168" s="198"/>
      <c r="L168" s="426"/>
      <c r="M168" s="850">
        <v>14</v>
      </c>
      <c r="N168" s="851">
        <v>20</v>
      </c>
      <c r="O168" s="1304">
        <v>1</v>
      </c>
      <c r="P168" s="635">
        <v>8</v>
      </c>
      <c r="Q168" s="636">
        <v>16</v>
      </c>
      <c r="R168" s="637">
        <v>1</v>
      </c>
      <c r="S168" s="850">
        <v>15.5</v>
      </c>
      <c r="T168" s="851">
        <v>20.5</v>
      </c>
      <c r="U168" s="1019"/>
      <c r="V168" s="635">
        <v>8</v>
      </c>
      <c r="W168" s="636">
        <v>16</v>
      </c>
      <c r="X168" s="637">
        <v>1</v>
      </c>
      <c r="Y168" s="3">
        <f t="shared" si="25"/>
        <v>28</v>
      </c>
      <c r="Z168" s="74"/>
      <c r="AA168" s="1309"/>
    </row>
    <row r="169" spans="1:27">
      <c r="A169" s="50"/>
      <c r="B169" s="1831"/>
      <c r="C169" s="695" t="s">
        <v>188</v>
      </c>
      <c r="D169" s="1273">
        <v>16.5</v>
      </c>
      <c r="E169" s="1274">
        <v>20.5</v>
      </c>
      <c r="F169" s="1537"/>
      <c r="G169" s="414"/>
      <c r="H169" s="166"/>
      <c r="I169" s="167"/>
      <c r="J169" s="424"/>
      <c r="K169" s="198"/>
      <c r="L169" s="426"/>
      <c r="M169" s="850">
        <v>13</v>
      </c>
      <c r="N169" s="851">
        <v>20</v>
      </c>
      <c r="O169" s="1304">
        <v>1</v>
      </c>
      <c r="P169" s="850">
        <v>13</v>
      </c>
      <c r="Q169" s="851">
        <v>20</v>
      </c>
      <c r="R169" s="1304">
        <v>1</v>
      </c>
      <c r="S169" s="635">
        <v>7</v>
      </c>
      <c r="T169" s="636">
        <v>15</v>
      </c>
      <c r="U169" s="651">
        <v>1</v>
      </c>
      <c r="V169" s="850">
        <v>12</v>
      </c>
      <c r="W169" s="851">
        <v>20</v>
      </c>
      <c r="X169" s="1304">
        <v>1</v>
      </c>
      <c r="Y169" s="3">
        <f t="shared" si="25"/>
        <v>30</v>
      </c>
      <c r="Z169" s="74"/>
      <c r="AA169" s="1309"/>
    </row>
    <row r="170" spans="1:27">
      <c r="A170" s="50"/>
      <c r="B170" s="1831"/>
      <c r="C170" s="1539" t="s">
        <v>169</v>
      </c>
      <c r="D170" s="225">
        <v>12.5</v>
      </c>
      <c r="E170" s="226">
        <v>20.5</v>
      </c>
      <c r="F170" s="430">
        <v>1</v>
      </c>
      <c r="G170" s="418">
        <v>16.5</v>
      </c>
      <c r="H170" s="226">
        <v>20.5</v>
      </c>
      <c r="I170" s="248"/>
      <c r="J170" s="424"/>
      <c r="K170" s="198"/>
      <c r="L170" s="426"/>
      <c r="M170" s="424">
        <v>13</v>
      </c>
      <c r="N170" s="198">
        <v>20</v>
      </c>
      <c r="O170" s="426">
        <v>1</v>
      </c>
      <c r="P170" s="424">
        <v>13</v>
      </c>
      <c r="Q170" s="198">
        <v>20</v>
      </c>
      <c r="R170" s="426">
        <v>1</v>
      </c>
      <c r="S170" s="424">
        <v>14.5</v>
      </c>
      <c r="T170" s="198">
        <v>20.5</v>
      </c>
      <c r="U170" s="431">
        <v>1</v>
      </c>
      <c r="V170" s="424">
        <v>13</v>
      </c>
      <c r="W170" s="198">
        <v>20</v>
      </c>
      <c r="X170" s="426">
        <v>1</v>
      </c>
      <c r="Y170" s="3">
        <f t="shared" si="25"/>
        <v>34</v>
      </c>
      <c r="Z170" s="226"/>
      <c r="AA170" s="1543"/>
    </row>
    <row r="171" spans="1:27">
      <c r="A171" s="50"/>
      <c r="B171" s="1831"/>
      <c r="C171" s="695" t="s">
        <v>117</v>
      </c>
      <c r="D171" s="82">
        <v>16.5</v>
      </c>
      <c r="E171" s="83">
        <v>20.5</v>
      </c>
      <c r="F171" s="413"/>
      <c r="G171" s="562"/>
      <c r="H171" s="346"/>
      <c r="I171" s="357"/>
      <c r="J171" s="850">
        <v>16.5</v>
      </c>
      <c r="K171" s="851">
        <v>20.5</v>
      </c>
      <c r="L171" s="1304"/>
      <c r="M171" s="850">
        <v>10</v>
      </c>
      <c r="N171" s="851">
        <v>19</v>
      </c>
      <c r="O171" s="1304">
        <v>1</v>
      </c>
      <c r="P171" s="635">
        <v>8</v>
      </c>
      <c r="Q171" s="636">
        <v>16</v>
      </c>
      <c r="R171" s="637">
        <v>1</v>
      </c>
      <c r="S171" s="850">
        <v>14.5</v>
      </c>
      <c r="T171" s="851">
        <v>20.5</v>
      </c>
      <c r="U171" s="1019">
        <v>1</v>
      </c>
      <c r="V171" s="850">
        <v>10</v>
      </c>
      <c r="W171" s="851">
        <v>19</v>
      </c>
      <c r="X171" s="1304">
        <v>1</v>
      </c>
      <c r="Y171" s="3">
        <f t="shared" si="25"/>
        <v>36</v>
      </c>
      <c r="Z171" s="74"/>
      <c r="AA171" s="1309"/>
    </row>
    <row r="172" spans="1:27">
      <c r="A172" s="50"/>
      <c r="B172" s="1831"/>
      <c r="C172" s="695" t="s">
        <v>214</v>
      </c>
      <c r="D172" s="424"/>
      <c r="E172" s="198"/>
      <c r="F172" s="426"/>
      <c r="G172" s="425"/>
      <c r="H172" s="198"/>
      <c r="I172" s="431"/>
      <c r="J172" s="850">
        <v>16.5</v>
      </c>
      <c r="K172" s="851">
        <v>20.5</v>
      </c>
      <c r="L172" s="1304"/>
      <c r="M172" s="635">
        <v>8</v>
      </c>
      <c r="N172" s="636">
        <v>16</v>
      </c>
      <c r="O172" s="637">
        <v>1</v>
      </c>
      <c r="P172" s="850">
        <v>13</v>
      </c>
      <c r="Q172" s="851">
        <v>20</v>
      </c>
      <c r="R172" s="1304">
        <v>1</v>
      </c>
      <c r="S172" s="635">
        <v>7</v>
      </c>
      <c r="T172" s="636">
        <v>15</v>
      </c>
      <c r="U172" s="651">
        <v>1</v>
      </c>
      <c r="V172" s="635">
        <v>8</v>
      </c>
      <c r="W172" s="636">
        <v>16</v>
      </c>
      <c r="X172" s="637">
        <v>1</v>
      </c>
      <c r="Y172" s="3">
        <f t="shared" si="25"/>
        <v>31</v>
      </c>
      <c r="Z172" s="765"/>
      <c r="AA172" s="1309"/>
    </row>
    <row r="173" spans="1:27">
      <c r="A173" s="50"/>
      <c r="B173" s="1831"/>
      <c r="C173" s="695" t="s">
        <v>191</v>
      </c>
      <c r="D173" s="193"/>
      <c r="E173" s="194"/>
      <c r="F173" s="1525"/>
      <c r="G173" s="1217">
        <v>7</v>
      </c>
      <c r="H173" s="940">
        <v>15</v>
      </c>
      <c r="I173" s="974">
        <v>1</v>
      </c>
      <c r="J173" s="424"/>
      <c r="K173" s="198"/>
      <c r="L173" s="426"/>
      <c r="M173" s="850">
        <v>13</v>
      </c>
      <c r="N173" s="851">
        <v>20</v>
      </c>
      <c r="O173" s="1304">
        <v>1</v>
      </c>
      <c r="P173" s="850">
        <v>13</v>
      </c>
      <c r="Q173" s="851">
        <v>20</v>
      </c>
      <c r="R173" s="1304">
        <v>1</v>
      </c>
      <c r="S173" s="850">
        <v>15.5</v>
      </c>
      <c r="T173" s="851">
        <v>20.5</v>
      </c>
      <c r="U173" s="1019"/>
      <c r="V173" s="850">
        <v>10</v>
      </c>
      <c r="W173" s="851">
        <v>16</v>
      </c>
      <c r="X173" s="1304">
        <v>1</v>
      </c>
      <c r="Y173" s="3">
        <f t="shared" si="25"/>
        <v>29</v>
      </c>
      <c r="Z173" s="1310"/>
      <c r="AA173" s="1311"/>
    </row>
    <row r="174" spans="1:27">
      <c r="A174" s="50"/>
      <c r="B174" s="1832"/>
      <c r="C174" s="561" t="s">
        <v>252</v>
      </c>
      <c r="D174" s="936"/>
      <c r="E174" s="937"/>
      <c r="F174" s="1120"/>
      <c r="G174" s="945"/>
      <c r="H174" s="937"/>
      <c r="I174" s="1120"/>
      <c r="J174" s="847">
        <v>7</v>
      </c>
      <c r="K174" s="848">
        <v>12</v>
      </c>
      <c r="L174" s="849"/>
      <c r="M174" s="847">
        <v>8</v>
      </c>
      <c r="N174" s="848">
        <v>16</v>
      </c>
      <c r="O174" s="849">
        <v>1</v>
      </c>
      <c r="P174" s="1266">
        <v>10</v>
      </c>
      <c r="Q174" s="1249">
        <v>19</v>
      </c>
      <c r="R174" s="1292">
        <v>1</v>
      </c>
      <c r="S174" s="1266">
        <v>14.5</v>
      </c>
      <c r="T174" s="1249">
        <v>20.5</v>
      </c>
      <c r="U174" s="1267">
        <v>1</v>
      </c>
      <c r="V174" s="1266">
        <v>13</v>
      </c>
      <c r="W174" s="1249">
        <v>20</v>
      </c>
      <c r="X174" s="1292">
        <v>1</v>
      </c>
      <c r="Y174" s="3">
        <f t="shared" si="25"/>
        <v>31</v>
      </c>
      <c r="Z174" s="23"/>
      <c r="AA174" s="17"/>
    </row>
    <row r="175" spans="1:27">
      <c r="B175" s="32"/>
      <c r="C175" s="295"/>
      <c r="D175" s="1828">
        <f>COUNT(D152:D173)</f>
        <v>13</v>
      </c>
      <c r="E175" s="1829"/>
      <c r="F175" s="1833"/>
      <c r="G175" s="1836">
        <f t="shared" ref="G175" si="26">COUNT(G152:G171)</f>
        <v>13</v>
      </c>
      <c r="H175" s="1837"/>
      <c r="I175" s="1838"/>
      <c r="J175" s="1836">
        <f t="shared" ref="J175" si="27">COUNT(J152:J171)</f>
        <v>1</v>
      </c>
      <c r="K175" s="1837"/>
      <c r="L175" s="1838"/>
      <c r="M175" s="1836">
        <f t="shared" ref="M175" si="28">COUNT(M152:M171)</f>
        <v>6</v>
      </c>
      <c r="N175" s="1837"/>
      <c r="O175" s="1838"/>
      <c r="P175" s="1836">
        <f t="shared" ref="P175" si="29">COUNT(P152:P171)</f>
        <v>6</v>
      </c>
      <c r="Q175" s="1837"/>
      <c r="R175" s="1838"/>
      <c r="S175" s="1836">
        <f t="shared" ref="S175" si="30">COUNT(S152:S171)</f>
        <v>6</v>
      </c>
      <c r="T175" s="1837"/>
      <c r="U175" s="2150"/>
      <c r="V175" s="1890">
        <f t="shared" ref="V175" si="31">COUNT(V152:V171)</f>
        <v>6</v>
      </c>
      <c r="W175" s="1891"/>
      <c r="X175" s="1892"/>
      <c r="Y175" s="23"/>
      <c r="Z175" s="23"/>
      <c r="AA175" s="17"/>
    </row>
  </sheetData>
  <mergeCells count="184">
    <mergeCell ref="D95:F95"/>
    <mergeCell ref="D93:F94"/>
    <mergeCell ref="S64:U65"/>
    <mergeCell ref="D63:F63"/>
    <mergeCell ref="J63:R63"/>
    <mergeCell ref="S36:U36"/>
    <mergeCell ref="B52:B59"/>
    <mergeCell ref="B82:B89"/>
    <mergeCell ref="P90:R90"/>
    <mergeCell ref="S90:U90"/>
    <mergeCell ref="P36:R36"/>
    <mergeCell ref="G90:I90"/>
    <mergeCell ref="J90:L90"/>
    <mergeCell ref="M90:O90"/>
    <mergeCell ref="D62:F62"/>
    <mergeCell ref="G62:O62"/>
    <mergeCell ref="J93:L93"/>
    <mergeCell ref="M93:O94"/>
    <mergeCell ref="G93:I93"/>
    <mergeCell ref="G94:I94"/>
    <mergeCell ref="P93:R93"/>
    <mergeCell ref="P94:R94"/>
    <mergeCell ref="S92:U92"/>
    <mergeCell ref="J92:L92"/>
    <mergeCell ref="B128:B130"/>
    <mergeCell ref="B131:B138"/>
    <mergeCell ref="B122:C123"/>
    <mergeCell ref="B34:C35"/>
    <mergeCell ref="B67:B68"/>
    <mergeCell ref="B37:B38"/>
    <mergeCell ref="B110:B117"/>
    <mergeCell ref="B126:B127"/>
    <mergeCell ref="B97:B98"/>
    <mergeCell ref="B93:C94"/>
    <mergeCell ref="B39:B40"/>
    <mergeCell ref="B41:B43"/>
    <mergeCell ref="B44:B51"/>
    <mergeCell ref="B69:B70"/>
    <mergeCell ref="B63:C65"/>
    <mergeCell ref="B99:B101"/>
    <mergeCell ref="B102:B109"/>
    <mergeCell ref="J34:L34"/>
    <mergeCell ref="G34:I34"/>
    <mergeCell ref="M34:O34"/>
    <mergeCell ref="B155:B157"/>
    <mergeCell ref="S148:U148"/>
    <mergeCell ref="D148:F148"/>
    <mergeCell ref="D149:F150"/>
    <mergeCell ref="G149:I150"/>
    <mergeCell ref="P122:R123"/>
    <mergeCell ref="S122:X122"/>
    <mergeCell ref="M123:O123"/>
    <mergeCell ref="J123:L123"/>
    <mergeCell ref="G123:I123"/>
    <mergeCell ref="M122:O122"/>
    <mergeCell ref="V95:X95"/>
    <mergeCell ref="G118:I118"/>
    <mergeCell ref="J118:L118"/>
    <mergeCell ref="M118:O118"/>
    <mergeCell ref="P120:R120"/>
    <mergeCell ref="P121:R121"/>
    <mergeCell ref="V90:X90"/>
    <mergeCell ref="D90:F90"/>
    <mergeCell ref="B71:B73"/>
    <mergeCell ref="B74:B81"/>
    <mergeCell ref="G175:I175"/>
    <mergeCell ref="J175:L175"/>
    <mergeCell ref="M175:O175"/>
    <mergeCell ref="P175:R175"/>
    <mergeCell ref="V148:X148"/>
    <mergeCell ref="D151:F151"/>
    <mergeCell ref="G151:I151"/>
    <mergeCell ref="J151:L151"/>
    <mergeCell ref="M151:O151"/>
    <mergeCell ref="P151:R151"/>
    <mergeCell ref="S151:U151"/>
    <mergeCell ref="P148:R148"/>
    <mergeCell ref="A139:A144"/>
    <mergeCell ref="D124:F124"/>
    <mergeCell ref="G124:I124"/>
    <mergeCell ref="J124:L124"/>
    <mergeCell ref="M124:O124"/>
    <mergeCell ref="P124:R124"/>
    <mergeCell ref="S124:U124"/>
    <mergeCell ref="S175:U175"/>
    <mergeCell ref="V175:X175"/>
    <mergeCell ref="B158:B165"/>
    <mergeCell ref="B139:B147"/>
    <mergeCell ref="V149:X150"/>
    <mergeCell ref="G148:I148"/>
    <mergeCell ref="J148:L148"/>
    <mergeCell ref="M148:O148"/>
    <mergeCell ref="V124:X124"/>
    <mergeCell ref="B166:B174"/>
    <mergeCell ref="J149:L150"/>
    <mergeCell ref="M149:O150"/>
    <mergeCell ref="P149:R150"/>
    <mergeCell ref="S149:U150"/>
    <mergeCell ref="V151:X151"/>
    <mergeCell ref="B153:B154"/>
    <mergeCell ref="D175:F175"/>
    <mergeCell ref="P118:R118"/>
    <mergeCell ref="S118:U118"/>
    <mergeCell ref="V118:X118"/>
    <mergeCell ref="V93:X94"/>
    <mergeCell ref="J94:L94"/>
    <mergeCell ref="G95:I95"/>
    <mergeCell ref="J95:L95"/>
    <mergeCell ref="M95:O95"/>
    <mergeCell ref="P95:R95"/>
    <mergeCell ref="S95:U95"/>
    <mergeCell ref="S93:U94"/>
    <mergeCell ref="V64:X65"/>
    <mergeCell ref="D65:F65"/>
    <mergeCell ref="D66:F66"/>
    <mergeCell ref="G66:I66"/>
    <mergeCell ref="J66:L66"/>
    <mergeCell ref="M66:O66"/>
    <mergeCell ref="P66:R66"/>
    <mergeCell ref="S66:U66"/>
    <mergeCell ref="V66:X66"/>
    <mergeCell ref="D64:F64"/>
    <mergeCell ref="G64:I65"/>
    <mergeCell ref="J64:L65"/>
    <mergeCell ref="M64:O65"/>
    <mergeCell ref="P64:R65"/>
    <mergeCell ref="B3:C4"/>
    <mergeCell ref="D3:F4"/>
    <mergeCell ref="G3:I4"/>
    <mergeCell ref="J3:L4"/>
    <mergeCell ref="M3:O4"/>
    <mergeCell ref="P3:R4"/>
    <mergeCell ref="B6:B7"/>
    <mergeCell ref="V30:X30"/>
    <mergeCell ref="M32:O33"/>
    <mergeCell ref="P33:R33"/>
    <mergeCell ref="S3:U4"/>
    <mergeCell ref="V3:X4"/>
    <mergeCell ref="B8:B9"/>
    <mergeCell ref="B10:B12"/>
    <mergeCell ref="B13:B20"/>
    <mergeCell ref="D30:F30"/>
    <mergeCell ref="S30:U30"/>
    <mergeCell ref="B21:B29"/>
    <mergeCell ref="G30:I30"/>
    <mergeCell ref="J30:L30"/>
    <mergeCell ref="M30:O30"/>
    <mergeCell ref="P30:R30"/>
    <mergeCell ref="V36:X36"/>
    <mergeCell ref="P34:R34"/>
    <mergeCell ref="S34:U35"/>
    <mergeCell ref="V34:X35"/>
    <mergeCell ref="P35:R35"/>
    <mergeCell ref="M5:O5"/>
    <mergeCell ref="AD8:AF8"/>
    <mergeCell ref="AD9:AF9"/>
    <mergeCell ref="AD11:AF11"/>
    <mergeCell ref="P5:R5"/>
    <mergeCell ref="S5:U5"/>
    <mergeCell ref="V5:X5"/>
    <mergeCell ref="V60:X60"/>
    <mergeCell ref="P60:R60"/>
    <mergeCell ref="S60:U60"/>
    <mergeCell ref="AC35:AD35"/>
    <mergeCell ref="J5:L5"/>
    <mergeCell ref="G5:I5"/>
    <mergeCell ref="D5:F5"/>
    <mergeCell ref="J122:L122"/>
    <mergeCell ref="G122:I122"/>
    <mergeCell ref="D121:F121"/>
    <mergeCell ref="M36:O36"/>
    <mergeCell ref="J36:L36"/>
    <mergeCell ref="G36:I36"/>
    <mergeCell ref="D36:F36"/>
    <mergeCell ref="M35:O35"/>
    <mergeCell ref="J35:L35"/>
    <mergeCell ref="G35:I35"/>
    <mergeCell ref="D34:F35"/>
    <mergeCell ref="D60:F60"/>
    <mergeCell ref="G60:I60"/>
    <mergeCell ref="J60:L60"/>
    <mergeCell ref="M60:O60"/>
    <mergeCell ref="D122:F123"/>
    <mergeCell ref="D118:F118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97E3F-E283-4C35-B6C3-B224B4D26F7C}">
  <sheetPr>
    <pageSetUpPr fitToPage="1"/>
  </sheetPr>
  <dimension ref="A3:AG252"/>
  <sheetViews>
    <sheetView tabSelected="1" topLeftCell="A109" workbookViewId="0">
      <selection activeCell="AA119" sqref="AA119"/>
    </sheetView>
  </sheetViews>
  <sheetFormatPr baseColWidth="10" defaultColWidth="9.09765625" defaultRowHeight="13.8"/>
  <cols>
    <col min="1" max="1" width="6.296875" customWidth="1"/>
    <col min="2" max="2" width="15.09765625" customWidth="1"/>
    <col min="3" max="3" width="21.59765625" customWidth="1"/>
    <col min="4" max="24" width="6.59765625" customWidth="1"/>
    <col min="25" max="25" width="6.296875" customWidth="1"/>
    <col min="26" max="26" width="4.8984375" customWidth="1"/>
    <col min="27" max="27" width="18.296875" customWidth="1"/>
    <col min="29" max="29" width="23.59765625" customWidth="1"/>
  </cols>
  <sheetData>
    <row r="3" spans="1:32">
      <c r="D3" t="s">
        <v>273</v>
      </c>
    </row>
    <row r="4" spans="1:32">
      <c r="J4" s="50"/>
      <c r="K4" s="50"/>
      <c r="L4" s="50"/>
      <c r="M4" s="50"/>
      <c r="N4" s="50"/>
      <c r="O4" s="50"/>
      <c r="S4" s="50"/>
      <c r="T4" s="50"/>
      <c r="U4" s="50"/>
      <c r="V4" s="50"/>
      <c r="W4" s="50"/>
      <c r="X4" s="50"/>
    </row>
    <row r="5" spans="1:32">
      <c r="B5" s="50"/>
      <c r="C5" s="50"/>
      <c r="D5" s="50"/>
      <c r="E5" s="50"/>
      <c r="F5" s="50"/>
      <c r="G5" s="50"/>
      <c r="H5" s="50"/>
      <c r="I5" s="50"/>
      <c r="J5" s="2328" t="s">
        <v>274</v>
      </c>
      <c r="K5" s="2329"/>
      <c r="L5" s="2330"/>
      <c r="M5" s="2126"/>
      <c r="N5" s="2126"/>
      <c r="O5" s="2126"/>
      <c r="P5" s="840"/>
      <c r="Q5" s="840"/>
      <c r="R5" s="840"/>
      <c r="S5" s="2292"/>
      <c r="T5" s="2292"/>
      <c r="U5" s="2292"/>
      <c r="V5" s="2292"/>
      <c r="W5" s="2292"/>
      <c r="X5" s="2292"/>
      <c r="Y5" s="50"/>
    </row>
    <row r="6" spans="1:32" ht="15" customHeight="1">
      <c r="A6" s="50"/>
      <c r="B6" s="2312" t="s">
        <v>275</v>
      </c>
      <c r="C6" s="2313"/>
      <c r="D6" s="1955"/>
      <c r="E6" s="1955"/>
      <c r="F6" s="1956"/>
      <c r="G6" s="1616"/>
      <c r="H6" s="1616"/>
      <c r="I6" s="1616"/>
      <c r="J6" s="2324" t="s">
        <v>175</v>
      </c>
      <c r="K6" s="2325"/>
      <c r="L6" s="2326"/>
      <c r="M6" s="1617"/>
      <c r="N6" s="1618"/>
      <c r="O6" s="1619"/>
      <c r="P6" s="1975"/>
      <c r="Q6" s="1975"/>
      <c r="R6" s="1975"/>
      <c r="S6" s="1982"/>
      <c r="T6" s="1983"/>
      <c r="U6" s="1983"/>
      <c r="V6" s="1874"/>
      <c r="W6" s="1875"/>
      <c r="X6" s="1876"/>
      <c r="Y6" s="50"/>
      <c r="Z6" s="50"/>
      <c r="AA6" s="47"/>
    </row>
    <row r="7" spans="1:32" ht="15" customHeight="1">
      <c r="A7" s="50"/>
      <c r="B7" s="2314"/>
      <c r="C7" s="2323"/>
      <c r="D7" s="2052"/>
      <c r="E7" s="2052"/>
      <c r="F7" s="2052"/>
      <c r="G7" s="1957"/>
      <c r="H7" s="1958"/>
      <c r="I7" s="1959"/>
      <c r="J7" s="2327"/>
      <c r="K7" s="2327"/>
      <c r="L7" s="2327"/>
      <c r="M7" s="1957" t="s">
        <v>94</v>
      </c>
      <c r="N7" s="1958"/>
      <c r="O7" s="1959"/>
      <c r="P7" s="1976"/>
      <c r="Q7" s="1976"/>
      <c r="R7" s="1976"/>
      <c r="S7" s="2331"/>
      <c r="T7" s="2332"/>
      <c r="U7" s="2332"/>
      <c r="V7" s="1877"/>
      <c r="W7" s="1878"/>
      <c r="X7" s="1879"/>
      <c r="Y7" s="17"/>
      <c r="Z7" s="17"/>
      <c r="AA7" s="17"/>
      <c r="AB7" s="17"/>
      <c r="AC7" s="17"/>
      <c r="AD7" s="17"/>
      <c r="AE7" s="17"/>
      <c r="AF7" s="17"/>
    </row>
    <row r="8" spans="1:32">
      <c r="B8" s="822" t="s">
        <v>1</v>
      </c>
      <c r="C8" s="822" t="s">
        <v>2</v>
      </c>
      <c r="D8" s="2298"/>
      <c r="E8" s="2299"/>
      <c r="F8" s="2300"/>
      <c r="G8" s="1972"/>
      <c r="H8" s="1973"/>
      <c r="I8" s="2301"/>
      <c r="J8" s="1972" t="s">
        <v>268</v>
      </c>
      <c r="K8" s="1973"/>
      <c r="L8" s="2301"/>
      <c r="M8" s="1828" t="s">
        <v>269</v>
      </c>
      <c r="N8" s="1829"/>
      <c r="O8" s="1833"/>
      <c r="P8" s="2318" t="s">
        <v>276</v>
      </c>
      <c r="Q8" s="2101"/>
      <c r="R8" s="2102"/>
      <c r="S8" s="2088" t="s">
        <v>271</v>
      </c>
      <c r="T8" s="2089"/>
      <c r="U8" s="2090"/>
      <c r="V8" s="2289" t="s">
        <v>272</v>
      </c>
      <c r="W8" s="2290"/>
      <c r="X8" s="2291"/>
      <c r="Y8" s="19" t="s">
        <v>5</v>
      </c>
      <c r="Z8" s="18" t="s">
        <v>6</v>
      </c>
      <c r="AA8" s="20" t="s">
        <v>7</v>
      </c>
      <c r="AB8" s="17"/>
      <c r="AC8" s="17"/>
      <c r="AD8" s="17"/>
      <c r="AE8" s="17"/>
      <c r="AF8" s="17"/>
    </row>
    <row r="9" spans="1:32" ht="12.75" customHeight="1">
      <c r="B9" s="924" t="s">
        <v>8</v>
      </c>
      <c r="C9" s="926" t="s">
        <v>277</v>
      </c>
      <c r="D9" s="1620"/>
      <c r="E9" s="461"/>
      <c r="F9" s="505"/>
      <c r="G9" s="907"/>
      <c r="H9" s="571"/>
      <c r="I9" s="587"/>
      <c r="J9" s="907">
        <v>10.5</v>
      </c>
      <c r="K9" s="571">
        <v>20.5</v>
      </c>
      <c r="L9" s="587">
        <v>1</v>
      </c>
      <c r="M9" s="907">
        <v>11.5</v>
      </c>
      <c r="N9" s="571">
        <v>20.5</v>
      </c>
      <c r="O9" s="587">
        <v>1</v>
      </c>
      <c r="P9" s="590"/>
      <c r="Q9" s="572"/>
      <c r="R9" s="914"/>
      <c r="S9" s="907">
        <v>11</v>
      </c>
      <c r="T9" s="571">
        <v>21</v>
      </c>
      <c r="U9" s="944">
        <v>1</v>
      </c>
      <c r="V9" s="460">
        <v>10.5</v>
      </c>
      <c r="W9" s="461">
        <v>20.5</v>
      </c>
      <c r="X9" s="505">
        <v>1</v>
      </c>
      <c r="Y9" s="19">
        <f>SUM(E9-D9-F9+H9-G9-I9+K9-J9-L9+N9-M9-O9+Q9-P9-R9+T9-S9-U9+W9-V9-X9)</f>
        <v>35</v>
      </c>
      <c r="Z9" s="18"/>
      <c r="AA9" s="826"/>
      <c r="AB9" s="17"/>
      <c r="AC9" s="182"/>
      <c r="AD9" s="17"/>
      <c r="AE9" s="17"/>
      <c r="AF9" s="17"/>
    </row>
    <row r="10" spans="1:32" ht="13.5" customHeight="1">
      <c r="A10" s="50"/>
      <c r="B10" s="2117" t="s">
        <v>11</v>
      </c>
      <c r="C10" s="1599" t="s">
        <v>278</v>
      </c>
      <c r="D10" s="244"/>
      <c r="E10" s="237"/>
      <c r="F10" s="245"/>
      <c r="G10" s="292"/>
      <c r="H10" s="293"/>
      <c r="I10" s="294"/>
      <c r="J10" s="292">
        <v>10.5</v>
      </c>
      <c r="K10" s="293">
        <v>20.5</v>
      </c>
      <c r="L10" s="294">
        <v>1</v>
      </c>
      <c r="M10" s="292">
        <v>11.5</v>
      </c>
      <c r="N10" s="293">
        <v>20.5</v>
      </c>
      <c r="O10" s="294">
        <v>1</v>
      </c>
      <c r="P10" s="292">
        <v>10.5</v>
      </c>
      <c r="Q10" s="293">
        <v>20.5</v>
      </c>
      <c r="R10" s="294">
        <v>1</v>
      </c>
      <c r="S10" s="632">
        <v>7</v>
      </c>
      <c r="T10" s="633">
        <v>17</v>
      </c>
      <c r="U10" s="862">
        <v>1</v>
      </c>
      <c r="V10" s="682"/>
      <c r="W10" s="683"/>
      <c r="X10" s="911"/>
      <c r="Y10" s="21">
        <f t="shared" ref="Y10:Y44" si="0">SUM(E10-D10-F10+H10-G10-I10+K10-J10-L10+N10-M10-O10+Q10-P10-R10+T10-S10-U10+W10-V10-X10)</f>
        <v>35</v>
      </c>
      <c r="Z10" s="2"/>
      <c r="AA10" s="268"/>
      <c r="AB10" s="17"/>
      <c r="AC10" s="182"/>
      <c r="AD10" s="17"/>
      <c r="AE10" s="17"/>
      <c r="AF10" s="17"/>
    </row>
    <row r="11" spans="1:32" ht="13.5" customHeight="1">
      <c r="A11" s="50"/>
      <c r="B11" s="2319"/>
      <c r="C11" s="931" t="s">
        <v>279</v>
      </c>
      <c r="D11" s="91"/>
      <c r="E11" s="92"/>
      <c r="F11" s="118"/>
      <c r="G11" s="407"/>
      <c r="H11" s="196"/>
      <c r="I11" s="408"/>
      <c r="J11" s="193"/>
      <c r="K11" s="194"/>
      <c r="L11" s="195"/>
      <c r="M11" s="407">
        <v>11.5</v>
      </c>
      <c r="N11" s="196">
        <v>20.5</v>
      </c>
      <c r="O11" s="408">
        <v>1</v>
      </c>
      <c r="P11" s="193"/>
      <c r="Q11" s="194"/>
      <c r="R11" s="195"/>
      <c r="S11" s="407">
        <v>11</v>
      </c>
      <c r="T11" s="196">
        <v>21</v>
      </c>
      <c r="U11" s="408">
        <v>1</v>
      </c>
      <c r="V11" s="91">
        <v>10.5</v>
      </c>
      <c r="W11" s="92">
        <v>20.5</v>
      </c>
      <c r="X11" s="118">
        <v>1</v>
      </c>
      <c r="Y11" s="19">
        <f t="shared" si="0"/>
        <v>26</v>
      </c>
      <c r="Z11" s="297"/>
      <c r="AA11" s="55"/>
      <c r="AB11" s="17"/>
      <c r="AC11" s="182"/>
      <c r="AD11" s="1840"/>
      <c r="AE11" s="1840"/>
      <c r="AF11" s="1840"/>
    </row>
    <row r="12" spans="1:32" ht="13.5" customHeight="1">
      <c r="A12" s="50"/>
      <c r="B12" s="2319"/>
      <c r="C12" s="931" t="s">
        <v>280</v>
      </c>
      <c r="D12" s="1632"/>
      <c r="E12" s="1633"/>
      <c r="F12" s="1634"/>
      <c r="G12" s="1632"/>
      <c r="H12" s="1633"/>
      <c r="I12" s="1634"/>
      <c r="J12" s="186">
        <v>10.5</v>
      </c>
      <c r="K12" s="187">
        <v>20.5</v>
      </c>
      <c r="L12" s="408">
        <v>1</v>
      </c>
      <c r="M12" s="635">
        <v>7</v>
      </c>
      <c r="N12" s="636">
        <v>17</v>
      </c>
      <c r="O12" s="651">
        <v>1</v>
      </c>
      <c r="P12" s="186">
        <v>11.5</v>
      </c>
      <c r="Q12" s="187">
        <v>20.5</v>
      </c>
      <c r="R12" s="188">
        <v>1</v>
      </c>
      <c r="S12" s="186">
        <v>11</v>
      </c>
      <c r="T12" s="187">
        <v>21</v>
      </c>
      <c r="U12" s="188">
        <v>1</v>
      </c>
      <c r="V12" s="173"/>
      <c r="W12" s="174"/>
      <c r="X12" s="360"/>
      <c r="Y12" s="19">
        <f t="shared" si="0"/>
        <v>35</v>
      </c>
      <c r="Z12" s="297"/>
      <c r="AA12" s="55"/>
      <c r="AB12" s="17"/>
      <c r="AC12" s="182"/>
      <c r="AD12" s="1594"/>
      <c r="AE12" s="1594"/>
      <c r="AF12" s="1594"/>
    </row>
    <row r="13" spans="1:32" ht="13.5" customHeight="1">
      <c r="A13" s="50"/>
      <c r="B13" s="2320"/>
      <c r="C13" s="931" t="s">
        <v>281</v>
      </c>
      <c r="D13" s="91"/>
      <c r="E13" s="92"/>
      <c r="F13" s="118"/>
      <c r="G13" s="407"/>
      <c r="H13" s="196"/>
      <c r="I13" s="408"/>
      <c r="J13" s="1601"/>
      <c r="K13" s="1600"/>
      <c r="L13" s="195"/>
      <c r="M13" s="1400">
        <v>10.5</v>
      </c>
      <c r="N13" s="1401">
        <v>20.5</v>
      </c>
      <c r="O13" s="1595">
        <v>1</v>
      </c>
      <c r="P13" s="1607">
        <v>6</v>
      </c>
      <c r="Q13" s="1608">
        <v>16</v>
      </c>
      <c r="R13" s="1609">
        <v>1</v>
      </c>
      <c r="S13" s="1400">
        <v>11</v>
      </c>
      <c r="T13" s="1401">
        <v>21</v>
      </c>
      <c r="U13" s="1595">
        <v>1</v>
      </c>
      <c r="V13" s="1603">
        <v>10.5</v>
      </c>
      <c r="W13" s="1604">
        <v>20.5</v>
      </c>
      <c r="X13" s="1604">
        <v>1</v>
      </c>
      <c r="Y13" s="19">
        <f t="shared" si="0"/>
        <v>36</v>
      </c>
      <c r="Z13" s="298"/>
      <c r="AA13" s="269"/>
      <c r="AB13" s="17"/>
      <c r="AC13" s="182"/>
      <c r="AD13" s="1594"/>
      <c r="AE13" s="1594"/>
      <c r="AF13" s="1594"/>
    </row>
    <row r="14" spans="1:32" ht="13.5" customHeight="1">
      <c r="A14" s="50"/>
      <c r="B14" s="2192" t="s">
        <v>52</v>
      </c>
      <c r="C14" s="204" t="s">
        <v>282</v>
      </c>
      <c r="D14" s="244"/>
      <c r="E14" s="237"/>
      <c r="F14" s="245"/>
      <c r="G14" s="907"/>
      <c r="H14" s="571"/>
      <c r="I14" s="587"/>
      <c r="J14" s="632">
        <v>6</v>
      </c>
      <c r="K14" s="633">
        <v>16</v>
      </c>
      <c r="L14" s="1610">
        <v>1</v>
      </c>
      <c r="M14" s="586"/>
      <c r="N14" s="570"/>
      <c r="O14" s="592"/>
      <c r="P14" s="586"/>
      <c r="Q14" s="570"/>
      <c r="R14" s="592"/>
      <c r="S14" s="292">
        <v>11</v>
      </c>
      <c r="T14" s="293">
        <v>21</v>
      </c>
      <c r="U14" s="530">
        <v>1</v>
      </c>
      <c r="V14" s="1611">
        <v>8</v>
      </c>
      <c r="W14" s="1612">
        <v>18</v>
      </c>
      <c r="X14" s="1613">
        <v>1</v>
      </c>
      <c r="Y14" s="18">
        <f t="shared" si="0"/>
        <v>27</v>
      </c>
      <c r="Z14" s="734"/>
      <c r="AA14" s="54"/>
      <c r="AB14" s="17"/>
      <c r="AC14" s="182"/>
      <c r="AD14" s="1860"/>
      <c r="AE14" s="1860"/>
      <c r="AF14" s="1860"/>
    </row>
    <row r="15" spans="1:32" ht="13.5" customHeight="1">
      <c r="A15" s="50"/>
      <c r="B15" s="2192"/>
      <c r="C15" s="1030" t="s">
        <v>283</v>
      </c>
      <c r="D15" s="1635"/>
      <c r="E15" s="1636"/>
      <c r="F15" s="1637"/>
      <c r="G15" s="1091"/>
      <c r="H15" s="1092"/>
      <c r="I15" s="1094"/>
      <c r="J15" s="1091">
        <v>10.5</v>
      </c>
      <c r="K15" s="1092">
        <v>20.5</v>
      </c>
      <c r="L15" s="1094">
        <v>1</v>
      </c>
      <c r="M15" s="1091">
        <v>11.5</v>
      </c>
      <c r="N15" s="1092">
        <v>20.5</v>
      </c>
      <c r="O15" s="1094">
        <v>1</v>
      </c>
      <c r="P15" s="1085"/>
      <c r="Q15" s="325"/>
      <c r="R15" s="870"/>
      <c r="S15" s="1208">
        <v>7</v>
      </c>
      <c r="T15" s="1206">
        <v>17</v>
      </c>
      <c r="U15" s="1209">
        <v>1</v>
      </c>
      <c r="V15" s="421">
        <v>10.5</v>
      </c>
      <c r="W15" s="71">
        <v>20.5</v>
      </c>
      <c r="X15" s="151">
        <v>1</v>
      </c>
      <c r="Y15" s="18">
        <f t="shared" si="0"/>
        <v>35</v>
      </c>
      <c r="Z15" s="734"/>
      <c r="AA15" s="54"/>
      <c r="AB15" s="17"/>
      <c r="AC15" s="182"/>
      <c r="AD15" s="23"/>
      <c r="AE15" s="23"/>
      <c r="AF15" s="23"/>
    </row>
    <row r="16" spans="1:32" ht="13.5" customHeight="1">
      <c r="A16" s="50"/>
      <c r="B16" s="2192"/>
      <c r="C16" s="1135" t="s">
        <v>284</v>
      </c>
      <c r="D16" s="79"/>
      <c r="E16" s="80"/>
      <c r="F16" s="247"/>
      <c r="G16" s="186"/>
      <c r="H16" s="187"/>
      <c r="I16" s="188"/>
      <c r="J16" s="186">
        <v>10.5</v>
      </c>
      <c r="K16" s="187">
        <v>20.5</v>
      </c>
      <c r="L16" s="188">
        <v>1</v>
      </c>
      <c r="M16" s="424"/>
      <c r="N16" s="198"/>
      <c r="O16" s="431"/>
      <c r="P16" s="186">
        <v>11.5</v>
      </c>
      <c r="Q16" s="187">
        <v>20.5</v>
      </c>
      <c r="R16" s="188">
        <v>1</v>
      </c>
      <c r="S16" s="186">
        <v>11</v>
      </c>
      <c r="T16" s="187">
        <v>21</v>
      </c>
      <c r="U16" s="192">
        <v>1</v>
      </c>
      <c r="V16" s="559"/>
      <c r="W16" s="174"/>
      <c r="X16" s="360"/>
      <c r="Y16" s="18">
        <f t="shared" si="0"/>
        <v>26</v>
      </c>
      <c r="Z16" s="735"/>
      <c r="AA16" s="55"/>
      <c r="AB16" s="17"/>
      <c r="AC16" s="182"/>
      <c r="AD16" s="23"/>
      <c r="AE16" s="45"/>
      <c r="AF16" s="45"/>
    </row>
    <row r="17" spans="1:32" ht="13.5" customHeight="1">
      <c r="A17" s="50"/>
      <c r="B17" s="2192"/>
      <c r="C17" s="1234" t="s">
        <v>285</v>
      </c>
      <c r="D17" s="91"/>
      <c r="E17" s="92"/>
      <c r="F17" s="118"/>
      <c r="G17" s="407"/>
      <c r="H17" s="196"/>
      <c r="I17" s="408"/>
      <c r="J17" s="407">
        <v>10.5</v>
      </c>
      <c r="K17" s="196">
        <v>20.5</v>
      </c>
      <c r="L17" s="408">
        <v>1</v>
      </c>
      <c r="M17" s="407">
        <v>11.5</v>
      </c>
      <c r="N17" s="196">
        <v>20.5</v>
      </c>
      <c r="O17" s="408">
        <v>1</v>
      </c>
      <c r="P17" s="193"/>
      <c r="Q17" s="194"/>
      <c r="R17" s="195"/>
      <c r="S17" s="939">
        <v>7</v>
      </c>
      <c r="T17" s="940">
        <v>17</v>
      </c>
      <c r="U17" s="941">
        <v>1</v>
      </c>
      <c r="V17" s="422">
        <v>10.5</v>
      </c>
      <c r="W17" s="92">
        <v>20.5</v>
      </c>
      <c r="X17" s="118">
        <v>1</v>
      </c>
      <c r="Y17" s="18">
        <f t="shared" si="0"/>
        <v>35</v>
      </c>
      <c r="Z17" s="909"/>
      <c r="AA17" s="56"/>
      <c r="AB17" s="17"/>
      <c r="AC17" s="182"/>
      <c r="AD17" s="23"/>
      <c r="AE17" s="45"/>
      <c r="AF17" s="45"/>
    </row>
    <row r="18" spans="1:32" ht="13.5" customHeight="1">
      <c r="A18" s="50"/>
      <c r="B18" s="2321" t="s">
        <v>286</v>
      </c>
      <c r="C18" s="204" t="s">
        <v>287</v>
      </c>
      <c r="D18" s="244"/>
      <c r="E18" s="237"/>
      <c r="F18" s="245"/>
      <c r="G18" s="1638"/>
      <c r="H18" s="1639"/>
      <c r="I18" s="1640"/>
      <c r="J18" s="292">
        <v>10.5</v>
      </c>
      <c r="K18" s="293">
        <v>20.5</v>
      </c>
      <c r="L18" s="294">
        <v>1</v>
      </c>
      <c r="M18" s="292">
        <v>10.5</v>
      </c>
      <c r="N18" s="293">
        <v>20.5</v>
      </c>
      <c r="O18" s="294">
        <v>1</v>
      </c>
      <c r="P18" s="292">
        <v>10.5</v>
      </c>
      <c r="Q18" s="293">
        <v>20.5</v>
      </c>
      <c r="R18" s="294">
        <v>1</v>
      </c>
      <c r="S18" s="292">
        <v>11</v>
      </c>
      <c r="T18" s="293">
        <v>21</v>
      </c>
      <c r="U18" s="294">
        <v>1</v>
      </c>
      <c r="V18" s="682"/>
      <c r="W18" s="683"/>
      <c r="X18" s="911"/>
      <c r="Y18" s="21">
        <f t="shared" si="0"/>
        <v>36</v>
      </c>
      <c r="Z18" s="365"/>
      <c r="AA18" s="368"/>
      <c r="AB18" s="17"/>
      <c r="AC18" s="182"/>
      <c r="AD18" s="23"/>
      <c r="AE18" s="45"/>
      <c r="AF18" s="45"/>
    </row>
    <row r="19" spans="1:32" ht="13.5" customHeight="1">
      <c r="A19" s="50"/>
      <c r="B19" s="2322"/>
      <c r="C19" s="205" t="s">
        <v>288</v>
      </c>
      <c r="D19" s="1632"/>
      <c r="E19" s="1633"/>
      <c r="F19" s="1634"/>
      <c r="G19" s="1632"/>
      <c r="H19" s="1633"/>
      <c r="I19" s="1634"/>
      <c r="J19" s="407">
        <v>11.5</v>
      </c>
      <c r="K19" s="196">
        <v>20.5</v>
      </c>
      <c r="L19" s="408">
        <v>1</v>
      </c>
      <c r="M19" s="407">
        <v>11.5</v>
      </c>
      <c r="N19" s="196">
        <v>20.5</v>
      </c>
      <c r="O19" s="408">
        <v>1</v>
      </c>
      <c r="P19" s="407">
        <v>11.5</v>
      </c>
      <c r="Q19" s="196">
        <v>20.5</v>
      </c>
      <c r="R19" s="408">
        <v>1</v>
      </c>
      <c r="S19" s="407">
        <v>13</v>
      </c>
      <c r="T19" s="196">
        <v>21</v>
      </c>
      <c r="U19" s="408">
        <v>1</v>
      </c>
      <c r="V19" s="211"/>
      <c r="W19" s="212"/>
      <c r="X19" s="307"/>
      <c r="Y19" s="21">
        <f t="shared" si="0"/>
        <v>31</v>
      </c>
      <c r="Z19" s="363"/>
      <c r="AA19" s="369"/>
      <c r="AB19" s="17"/>
      <c r="AC19" s="182"/>
      <c r="AD19" s="23"/>
      <c r="AE19" s="45"/>
      <c r="AF19" s="45"/>
    </row>
    <row r="20" spans="1:32" ht="13.5" customHeight="1">
      <c r="A20" s="50"/>
      <c r="B20" s="1765" t="s">
        <v>171</v>
      </c>
      <c r="C20" s="1643" t="s">
        <v>289</v>
      </c>
      <c r="D20" s="244"/>
      <c r="E20" s="237"/>
      <c r="F20" s="245"/>
      <c r="G20" s="292"/>
      <c r="H20" s="293"/>
      <c r="I20" s="294"/>
      <c r="J20" s="632">
        <v>6</v>
      </c>
      <c r="K20" s="633">
        <v>16</v>
      </c>
      <c r="L20" s="862">
        <v>1</v>
      </c>
      <c r="M20" s="292">
        <v>11.5</v>
      </c>
      <c r="N20" s="293">
        <v>20.5</v>
      </c>
      <c r="O20" s="294">
        <v>1</v>
      </c>
      <c r="P20" s="632">
        <v>6</v>
      </c>
      <c r="Q20" s="633">
        <v>16</v>
      </c>
      <c r="R20" s="862">
        <v>1</v>
      </c>
      <c r="S20" s="292">
        <v>11</v>
      </c>
      <c r="T20" s="293">
        <v>21</v>
      </c>
      <c r="U20" s="294">
        <v>1</v>
      </c>
      <c r="V20" s="682"/>
      <c r="W20" s="683"/>
      <c r="X20" s="911"/>
      <c r="Y20" s="439">
        <f t="shared" si="0"/>
        <v>35</v>
      </c>
      <c r="Z20" s="1119"/>
      <c r="AA20" s="1547"/>
      <c r="AB20" s="17"/>
      <c r="AC20" s="182"/>
      <c r="AD20" s="23"/>
      <c r="AE20" s="45"/>
      <c r="AF20" s="45"/>
    </row>
    <row r="21" spans="1:32" ht="13.5" customHeight="1">
      <c r="A21" s="50"/>
      <c r="B21" s="1765"/>
      <c r="C21" s="1644" t="s">
        <v>290</v>
      </c>
      <c r="D21" s="79"/>
      <c r="E21" s="80"/>
      <c r="F21" s="247"/>
      <c r="G21" s="186"/>
      <c r="H21" s="187"/>
      <c r="I21" s="188"/>
      <c r="J21" s="186">
        <v>10.5</v>
      </c>
      <c r="K21" s="187">
        <v>20.5</v>
      </c>
      <c r="L21" s="188">
        <v>1</v>
      </c>
      <c r="M21" s="635">
        <v>7</v>
      </c>
      <c r="N21" s="636">
        <v>16</v>
      </c>
      <c r="O21" s="651">
        <v>1</v>
      </c>
      <c r="P21" s="186">
        <v>10.5</v>
      </c>
      <c r="Q21" s="187">
        <v>20.5</v>
      </c>
      <c r="R21" s="188">
        <v>1</v>
      </c>
      <c r="S21" s="186">
        <v>11</v>
      </c>
      <c r="T21" s="187">
        <v>21</v>
      </c>
      <c r="U21" s="188">
        <v>1</v>
      </c>
      <c r="V21" s="853">
        <v>8</v>
      </c>
      <c r="W21" s="854">
        <v>18</v>
      </c>
      <c r="X21" s="1013">
        <v>1</v>
      </c>
      <c r="Y21" s="23">
        <f t="shared" si="0"/>
        <v>44</v>
      </c>
      <c r="Z21" s="525"/>
      <c r="AA21" s="56"/>
      <c r="AB21" s="17"/>
      <c r="AC21" s="182"/>
      <c r="AD21" s="1860"/>
      <c r="AE21" s="1860"/>
      <c r="AF21" s="1860"/>
    </row>
    <row r="22" spans="1:32" ht="13.5" customHeight="1">
      <c r="A22" s="50"/>
      <c r="B22" s="1765"/>
      <c r="C22" s="1644" t="s">
        <v>291</v>
      </c>
      <c r="D22" s="79"/>
      <c r="E22" s="80"/>
      <c r="F22" s="247"/>
      <c r="G22" s="186"/>
      <c r="H22" s="187"/>
      <c r="I22" s="188"/>
      <c r="J22" s="186">
        <v>10.5</v>
      </c>
      <c r="K22" s="187">
        <v>20.5</v>
      </c>
      <c r="L22" s="188">
        <v>1</v>
      </c>
      <c r="M22" s="186">
        <v>10.5</v>
      </c>
      <c r="N22" s="187">
        <v>20.5</v>
      </c>
      <c r="O22" s="188">
        <v>1</v>
      </c>
      <c r="P22" s="635">
        <v>7</v>
      </c>
      <c r="Q22" s="636">
        <v>17</v>
      </c>
      <c r="R22" s="651">
        <v>1</v>
      </c>
      <c r="S22" s="186">
        <v>11</v>
      </c>
      <c r="T22" s="187">
        <v>21</v>
      </c>
      <c r="U22" s="188">
        <v>1</v>
      </c>
      <c r="V22" s="173"/>
      <c r="W22" s="174"/>
      <c r="X22" s="175"/>
      <c r="Y22" s="21">
        <f t="shared" si="0"/>
        <v>36</v>
      </c>
      <c r="Z22" s="365"/>
      <c r="AA22" s="368"/>
      <c r="AB22" s="17"/>
      <c r="AC22" s="23"/>
      <c r="AD22" s="17"/>
      <c r="AE22" s="17"/>
      <c r="AF22" s="17"/>
    </row>
    <row r="23" spans="1:32" ht="13.5" customHeight="1">
      <c r="A23" s="50"/>
      <c r="B23" s="1765"/>
      <c r="C23" s="1644" t="s">
        <v>292</v>
      </c>
      <c r="D23" s="79"/>
      <c r="E23" s="80"/>
      <c r="F23" s="247"/>
      <c r="G23" s="186"/>
      <c r="H23" s="187"/>
      <c r="I23" s="188"/>
      <c r="J23" s="186">
        <v>11.5</v>
      </c>
      <c r="K23" s="187">
        <v>20.5</v>
      </c>
      <c r="L23" s="188">
        <v>1</v>
      </c>
      <c r="M23" s="424"/>
      <c r="N23" s="198"/>
      <c r="O23" s="431"/>
      <c r="P23" s="424"/>
      <c r="Q23" s="198"/>
      <c r="R23" s="431"/>
      <c r="S23" s="635">
        <v>7</v>
      </c>
      <c r="T23" s="636">
        <v>17</v>
      </c>
      <c r="U23" s="651">
        <v>1</v>
      </c>
      <c r="V23" s="79">
        <v>10.5</v>
      </c>
      <c r="W23" s="80">
        <v>20.5</v>
      </c>
      <c r="X23" s="81">
        <v>1</v>
      </c>
      <c r="Y23" s="21">
        <f t="shared" si="0"/>
        <v>26</v>
      </c>
      <c r="Z23" s="362"/>
      <c r="AA23" s="6"/>
      <c r="AB23" s="17"/>
      <c r="AC23" s="23"/>
      <c r="AD23" s="17"/>
      <c r="AE23" s="17"/>
      <c r="AF23" s="17"/>
    </row>
    <row r="24" spans="1:32" ht="13.5" customHeight="1">
      <c r="A24" s="50"/>
      <c r="B24" s="1765"/>
      <c r="C24" s="1644" t="s">
        <v>293</v>
      </c>
      <c r="D24" s="79"/>
      <c r="E24" s="80"/>
      <c r="F24" s="247"/>
      <c r="G24" s="186"/>
      <c r="H24" s="187"/>
      <c r="I24" s="188"/>
      <c r="J24" s="424"/>
      <c r="K24" s="198"/>
      <c r="L24" s="431"/>
      <c r="M24" s="186">
        <v>10.5</v>
      </c>
      <c r="N24" s="187">
        <v>20.5</v>
      </c>
      <c r="O24" s="188">
        <v>1</v>
      </c>
      <c r="P24" s="186">
        <v>11.5</v>
      </c>
      <c r="Q24" s="187">
        <v>20.5</v>
      </c>
      <c r="R24" s="188">
        <v>1</v>
      </c>
      <c r="S24" s="186">
        <v>11</v>
      </c>
      <c r="T24" s="187">
        <v>21</v>
      </c>
      <c r="U24" s="188">
        <v>1</v>
      </c>
      <c r="V24" s="173"/>
      <c r="W24" s="174"/>
      <c r="X24" s="175"/>
      <c r="Y24" s="21">
        <f t="shared" si="0"/>
        <v>26</v>
      </c>
      <c r="Z24" s="362"/>
      <c r="AA24" s="6"/>
      <c r="AB24" s="17"/>
      <c r="AC24" s="17"/>
      <c r="AD24" s="17"/>
      <c r="AE24" s="17"/>
      <c r="AF24" s="17"/>
    </row>
    <row r="25" spans="1:32" ht="13.5" customHeight="1">
      <c r="A25" s="50" t="s">
        <v>294</v>
      </c>
      <c r="B25" s="1765"/>
      <c r="C25" s="1644" t="s">
        <v>295</v>
      </c>
      <c r="D25" s="79"/>
      <c r="E25" s="80"/>
      <c r="F25" s="247"/>
      <c r="G25" s="186"/>
      <c r="H25" s="187"/>
      <c r="I25" s="188"/>
      <c r="J25" s="635">
        <v>7</v>
      </c>
      <c r="K25" s="636">
        <v>17</v>
      </c>
      <c r="L25" s="651">
        <v>1</v>
      </c>
      <c r="M25" s="186">
        <v>10.5</v>
      </c>
      <c r="N25" s="187">
        <v>20.5</v>
      </c>
      <c r="O25" s="188">
        <v>1</v>
      </c>
      <c r="P25" s="186">
        <v>10.5</v>
      </c>
      <c r="Q25" s="187">
        <v>20.5</v>
      </c>
      <c r="R25" s="188">
        <v>1</v>
      </c>
      <c r="S25" s="186">
        <v>12</v>
      </c>
      <c r="T25" s="187">
        <v>21</v>
      </c>
      <c r="U25" s="188">
        <v>1</v>
      </c>
      <c r="V25" s="173"/>
      <c r="W25" s="174"/>
      <c r="X25" s="175"/>
      <c r="Y25" s="21">
        <f t="shared" si="0"/>
        <v>35</v>
      </c>
      <c r="Z25" s="362"/>
      <c r="AA25" s="6"/>
      <c r="AB25" s="17"/>
      <c r="AC25" s="17"/>
      <c r="AD25" s="17"/>
      <c r="AE25" s="17"/>
      <c r="AF25" s="17"/>
    </row>
    <row r="26" spans="1:32" ht="13.5" customHeight="1">
      <c r="A26" s="50" t="s">
        <v>103</v>
      </c>
      <c r="B26" s="1765"/>
      <c r="C26" s="1644" t="s">
        <v>296</v>
      </c>
      <c r="D26" s="79"/>
      <c r="E26" s="80"/>
      <c r="F26" s="247"/>
      <c r="G26" s="186"/>
      <c r="H26" s="187"/>
      <c r="I26" s="188"/>
      <c r="J26" s="424"/>
      <c r="K26" s="198"/>
      <c r="L26" s="431"/>
      <c r="M26" s="186">
        <v>11.5</v>
      </c>
      <c r="N26" s="187">
        <v>20.5</v>
      </c>
      <c r="O26" s="188">
        <v>1</v>
      </c>
      <c r="P26" s="635">
        <v>7</v>
      </c>
      <c r="Q26" s="636">
        <v>17</v>
      </c>
      <c r="R26" s="651">
        <v>1</v>
      </c>
      <c r="S26" s="186">
        <v>11</v>
      </c>
      <c r="T26" s="187">
        <v>21</v>
      </c>
      <c r="U26" s="188">
        <v>1</v>
      </c>
      <c r="V26" s="79">
        <v>10.5</v>
      </c>
      <c r="W26" s="80">
        <v>20.5</v>
      </c>
      <c r="X26" s="81">
        <v>1</v>
      </c>
      <c r="Y26" s="21">
        <f t="shared" si="0"/>
        <v>35</v>
      </c>
      <c r="Z26" s="362"/>
      <c r="AA26" s="6"/>
      <c r="AB26" s="17"/>
      <c r="AC26" s="17"/>
      <c r="AD26" s="17"/>
      <c r="AE26" s="17"/>
      <c r="AF26" s="17"/>
    </row>
    <row r="27" spans="1:32" ht="13.5" customHeight="1">
      <c r="A27" s="50"/>
      <c r="B27" s="1765"/>
      <c r="C27" s="1644" t="s">
        <v>297</v>
      </c>
      <c r="D27" s="79"/>
      <c r="E27" s="80"/>
      <c r="F27" s="247"/>
      <c r="G27" s="186"/>
      <c r="H27" s="187"/>
      <c r="I27" s="188"/>
      <c r="J27" s="186">
        <v>10.5</v>
      </c>
      <c r="K27" s="187">
        <v>20.5</v>
      </c>
      <c r="L27" s="188">
        <v>1</v>
      </c>
      <c r="M27" s="424"/>
      <c r="N27" s="198"/>
      <c r="O27" s="431"/>
      <c r="P27" s="186">
        <v>11.5</v>
      </c>
      <c r="Q27" s="187">
        <v>20.5</v>
      </c>
      <c r="R27" s="188">
        <v>1</v>
      </c>
      <c r="S27" s="635">
        <v>7</v>
      </c>
      <c r="T27" s="636">
        <v>17</v>
      </c>
      <c r="U27" s="651">
        <v>1</v>
      </c>
      <c r="V27" s="173"/>
      <c r="W27" s="174"/>
      <c r="X27" s="175"/>
      <c r="Y27" s="21">
        <f t="shared" si="0"/>
        <v>26</v>
      </c>
      <c r="Z27" s="364"/>
      <c r="AA27" s="14"/>
      <c r="AB27" s="17"/>
      <c r="AC27" s="17"/>
      <c r="AD27" s="17"/>
      <c r="AE27" s="17"/>
      <c r="AF27" s="17"/>
    </row>
    <row r="28" spans="1:32" ht="13.5" customHeight="1">
      <c r="A28" s="50"/>
      <c r="B28" s="1765"/>
      <c r="C28" s="1644" t="s">
        <v>298</v>
      </c>
      <c r="D28" s="79"/>
      <c r="E28" s="80"/>
      <c r="F28" s="247"/>
      <c r="G28" s="186"/>
      <c r="H28" s="187"/>
      <c r="I28" s="188"/>
      <c r="J28" s="186">
        <v>11.5</v>
      </c>
      <c r="K28" s="187">
        <v>20.5</v>
      </c>
      <c r="L28" s="188">
        <v>1</v>
      </c>
      <c r="M28" s="186">
        <v>10.5</v>
      </c>
      <c r="N28" s="187">
        <v>20.5</v>
      </c>
      <c r="O28" s="188">
        <v>1</v>
      </c>
      <c r="P28" s="186">
        <v>10.5</v>
      </c>
      <c r="Q28" s="187">
        <v>20.5</v>
      </c>
      <c r="R28" s="188">
        <v>1</v>
      </c>
      <c r="S28" s="186">
        <v>11</v>
      </c>
      <c r="T28" s="187">
        <v>21</v>
      </c>
      <c r="U28" s="188">
        <v>1</v>
      </c>
      <c r="V28" s="79">
        <v>10.5</v>
      </c>
      <c r="W28" s="80">
        <v>20.5</v>
      </c>
      <c r="X28" s="81">
        <v>1</v>
      </c>
      <c r="Y28" s="21">
        <f t="shared" si="0"/>
        <v>44</v>
      </c>
      <c r="Z28" s="362"/>
      <c r="AA28" s="6"/>
      <c r="AB28" s="17"/>
      <c r="AC28" s="17"/>
      <c r="AD28" s="17"/>
      <c r="AE28" s="17"/>
      <c r="AF28" s="17"/>
    </row>
    <row r="29" spans="1:32" ht="13.5" customHeight="1">
      <c r="A29" s="50"/>
      <c r="B29" s="1765"/>
      <c r="C29" s="1644" t="s">
        <v>299</v>
      </c>
      <c r="D29" s="79"/>
      <c r="E29" s="80"/>
      <c r="F29" s="247"/>
      <c r="G29" s="186"/>
      <c r="H29" s="187"/>
      <c r="I29" s="188"/>
      <c r="J29" s="186">
        <v>11.5</v>
      </c>
      <c r="K29" s="187">
        <v>20.5</v>
      </c>
      <c r="L29" s="188">
        <v>1</v>
      </c>
      <c r="M29" s="186">
        <v>10.5</v>
      </c>
      <c r="N29" s="187">
        <v>20.5</v>
      </c>
      <c r="O29" s="188">
        <v>1</v>
      </c>
      <c r="P29" s="186">
        <v>10.5</v>
      </c>
      <c r="Q29" s="187">
        <v>20.5</v>
      </c>
      <c r="R29" s="188">
        <v>1</v>
      </c>
      <c r="S29" s="186">
        <v>11</v>
      </c>
      <c r="T29" s="187">
        <v>21</v>
      </c>
      <c r="U29" s="188">
        <v>1</v>
      </c>
      <c r="V29" s="173"/>
      <c r="W29" s="174"/>
      <c r="X29" s="175"/>
      <c r="Y29" s="21">
        <f t="shared" si="0"/>
        <v>35</v>
      </c>
      <c r="Z29" s="362"/>
      <c r="AA29" s="6"/>
      <c r="AB29" s="17"/>
      <c r="AC29" s="17"/>
      <c r="AD29" s="17"/>
      <c r="AE29" s="17"/>
      <c r="AF29" s="17"/>
    </row>
    <row r="30" spans="1:32" ht="13.5" customHeight="1">
      <c r="A30" s="50"/>
      <c r="B30" s="1765"/>
      <c r="C30" s="1645" t="s">
        <v>300</v>
      </c>
      <c r="D30" s="79"/>
      <c r="E30" s="80"/>
      <c r="F30" s="247"/>
      <c r="G30" s="73"/>
      <c r="H30" s="74"/>
      <c r="I30" s="75"/>
      <c r="J30" s="225"/>
      <c r="K30" s="226"/>
      <c r="L30" s="248"/>
      <c r="M30" s="73">
        <v>11.5</v>
      </c>
      <c r="N30" s="74">
        <v>20.5</v>
      </c>
      <c r="O30" s="75">
        <v>1</v>
      </c>
      <c r="P30" s="73">
        <v>10.5</v>
      </c>
      <c r="Q30" s="74">
        <v>20.5</v>
      </c>
      <c r="R30" s="75">
        <v>1</v>
      </c>
      <c r="S30" s="73">
        <v>11</v>
      </c>
      <c r="T30" s="74">
        <v>21</v>
      </c>
      <c r="U30" s="75">
        <v>1</v>
      </c>
      <c r="V30" s="173"/>
      <c r="W30" s="174"/>
      <c r="X30" s="175"/>
      <c r="Y30" s="21">
        <f t="shared" si="0"/>
        <v>26</v>
      </c>
      <c r="Z30" s="822"/>
      <c r="AA30" s="366"/>
      <c r="AB30" s="295"/>
      <c r="AC30" s="17"/>
      <c r="AD30" s="17"/>
      <c r="AE30" s="17"/>
      <c r="AF30" s="17"/>
    </row>
    <row r="31" spans="1:32" ht="13.5" customHeight="1">
      <c r="A31" s="50"/>
      <c r="B31" s="1110"/>
      <c r="C31" s="1645" t="s">
        <v>301</v>
      </c>
      <c r="D31" s="91"/>
      <c r="E31" s="92"/>
      <c r="F31" s="118"/>
      <c r="G31" s="242"/>
      <c r="H31" s="239"/>
      <c r="I31" s="243"/>
      <c r="J31" s="606">
        <v>12.5</v>
      </c>
      <c r="K31" s="607">
        <v>20.5</v>
      </c>
      <c r="L31" s="905">
        <v>1</v>
      </c>
      <c r="M31" s="241">
        <v>10.5</v>
      </c>
      <c r="N31" s="238">
        <v>20.5</v>
      </c>
      <c r="O31" s="246">
        <v>1</v>
      </c>
      <c r="P31" s="606">
        <v>11.5</v>
      </c>
      <c r="Q31" s="607">
        <v>20.5</v>
      </c>
      <c r="R31" s="905">
        <v>1</v>
      </c>
      <c r="S31" s="606">
        <v>13</v>
      </c>
      <c r="T31" s="607">
        <v>21</v>
      </c>
      <c r="U31" s="905">
        <v>1</v>
      </c>
      <c r="V31" s="330">
        <v>10.5</v>
      </c>
      <c r="W31" s="331">
        <v>20.5</v>
      </c>
      <c r="X31" s="655">
        <v>1</v>
      </c>
      <c r="Y31" s="21">
        <f>SUM(E31-D31-F31+H31-G31-I31+K31-J31-L31+N31-M31-O31+Q31-P31-R31+T31-S31-U31+W31-V31-X31)</f>
        <v>40</v>
      </c>
      <c r="Z31" s="822"/>
      <c r="AA31" s="366"/>
      <c r="AB31" s="295"/>
      <c r="AC31" s="17"/>
      <c r="AD31" s="17"/>
      <c r="AE31" s="17"/>
      <c r="AF31" s="17"/>
    </row>
    <row r="32" spans="1:32" ht="13.5" customHeight="1">
      <c r="A32" s="50"/>
      <c r="B32" s="959" t="s">
        <v>302</v>
      </c>
      <c r="C32" s="1623" t="s">
        <v>303</v>
      </c>
      <c r="D32" s="1247"/>
      <c r="E32" s="410"/>
      <c r="F32" s="420"/>
      <c r="G32" s="1648"/>
      <c r="H32" s="1649"/>
      <c r="I32" s="1650"/>
      <c r="J32" s="1651">
        <v>12.5</v>
      </c>
      <c r="K32" s="1652">
        <v>20.5</v>
      </c>
      <c r="L32" s="1653">
        <v>1</v>
      </c>
      <c r="M32" s="1654"/>
      <c r="N32" s="1655"/>
      <c r="O32" s="1656"/>
      <c r="P32" s="1651">
        <v>11.5</v>
      </c>
      <c r="Q32" s="1652">
        <v>20.5</v>
      </c>
      <c r="R32" s="1653">
        <v>1</v>
      </c>
      <c r="S32" s="1657">
        <v>12</v>
      </c>
      <c r="T32" s="1652">
        <v>21</v>
      </c>
      <c r="U32" s="1658">
        <v>1</v>
      </c>
      <c r="V32" s="1659">
        <v>8</v>
      </c>
      <c r="W32" s="1660">
        <v>16</v>
      </c>
      <c r="X32" s="1661">
        <v>1</v>
      </c>
      <c r="Y32" s="764">
        <f t="shared" si="0"/>
        <v>30</v>
      </c>
      <c r="Z32" s="764"/>
      <c r="AA32" s="964"/>
      <c r="AB32" s="295"/>
      <c r="AC32" s="17"/>
      <c r="AD32" s="17"/>
      <c r="AE32" s="17"/>
      <c r="AF32" s="17"/>
    </row>
    <row r="33" spans="1:32" ht="13.5" customHeight="1">
      <c r="A33" s="50"/>
      <c r="B33" s="2007"/>
      <c r="C33" s="1606" t="s">
        <v>304</v>
      </c>
      <c r="D33" s="421"/>
      <c r="E33" s="71"/>
      <c r="F33" s="72"/>
      <c r="G33" s="354"/>
      <c r="H33" s="63"/>
      <c r="I33" s="412"/>
      <c r="J33" s="1129">
        <v>7</v>
      </c>
      <c r="K33" s="1130">
        <v>12</v>
      </c>
      <c r="L33" s="1140"/>
      <c r="M33" s="354">
        <v>16.5</v>
      </c>
      <c r="N33" s="63">
        <v>20.5</v>
      </c>
      <c r="O33" s="412"/>
      <c r="P33" s="356"/>
      <c r="Q33" s="323"/>
      <c r="R33" s="768"/>
      <c r="S33" s="1129">
        <v>7</v>
      </c>
      <c r="T33" s="1130">
        <v>15</v>
      </c>
      <c r="U33" s="1140">
        <v>1</v>
      </c>
      <c r="V33" s="70">
        <v>13.5</v>
      </c>
      <c r="W33" s="71">
        <v>20.5</v>
      </c>
      <c r="X33" s="72">
        <v>1</v>
      </c>
      <c r="Y33" s="1690">
        <f t="shared" si="0"/>
        <v>22</v>
      </c>
      <c r="Z33" s="361"/>
      <c r="AA33" s="5"/>
      <c r="AB33" s="295"/>
      <c r="AC33" s="17"/>
      <c r="AD33" s="17"/>
      <c r="AE33" s="17"/>
      <c r="AF33" s="17"/>
    </row>
    <row r="34" spans="1:32" ht="13.5" customHeight="1">
      <c r="A34" s="50"/>
      <c r="B34" s="2007"/>
      <c r="C34" s="1566" t="s">
        <v>305</v>
      </c>
      <c r="D34" s="560"/>
      <c r="E34" s="80"/>
      <c r="F34" s="81"/>
      <c r="G34" s="73"/>
      <c r="H34" s="74"/>
      <c r="I34" s="480"/>
      <c r="J34" s="225"/>
      <c r="K34" s="226"/>
      <c r="L34" s="430"/>
      <c r="M34" s="225"/>
      <c r="N34" s="226"/>
      <c r="O34" s="430"/>
      <c r="P34" s="316">
        <v>7</v>
      </c>
      <c r="Q34" s="317">
        <v>12</v>
      </c>
      <c r="R34" s="638"/>
      <c r="S34" s="73">
        <v>14</v>
      </c>
      <c r="T34" s="74">
        <v>21</v>
      </c>
      <c r="U34" s="480">
        <v>1</v>
      </c>
      <c r="V34" s="79">
        <v>12.5</v>
      </c>
      <c r="W34" s="80">
        <v>20.5</v>
      </c>
      <c r="X34" s="247">
        <v>1</v>
      </c>
      <c r="Y34" s="1669">
        <f t="shared" si="0"/>
        <v>18</v>
      </c>
      <c r="Z34" s="457"/>
      <c r="AA34" s="6"/>
      <c r="AB34" s="17"/>
      <c r="AC34" s="17"/>
      <c r="AD34" s="17"/>
      <c r="AE34" s="17"/>
      <c r="AF34" s="17"/>
    </row>
    <row r="35" spans="1:32" ht="13.5" customHeight="1">
      <c r="A35" s="50"/>
      <c r="B35" s="2007"/>
      <c r="C35" s="1566" t="s">
        <v>306</v>
      </c>
      <c r="D35" s="560"/>
      <c r="E35" s="80"/>
      <c r="F35" s="81"/>
      <c r="G35" s="73"/>
      <c r="H35" s="74"/>
      <c r="I35" s="480"/>
      <c r="J35" s="73">
        <v>15.5</v>
      </c>
      <c r="K35" s="74">
        <v>20.5</v>
      </c>
      <c r="L35" s="480"/>
      <c r="M35" s="225"/>
      <c r="N35" s="226"/>
      <c r="O35" s="430"/>
      <c r="P35" s="73">
        <v>16.5</v>
      </c>
      <c r="Q35" s="74">
        <v>20.5</v>
      </c>
      <c r="R35" s="480"/>
      <c r="S35" s="73">
        <v>14</v>
      </c>
      <c r="T35" s="74">
        <v>21</v>
      </c>
      <c r="U35" s="480">
        <v>1</v>
      </c>
      <c r="V35" s="79">
        <v>14.5</v>
      </c>
      <c r="W35" s="80">
        <v>20.5</v>
      </c>
      <c r="X35" s="247">
        <v>1</v>
      </c>
      <c r="Y35" s="1669">
        <f t="shared" si="0"/>
        <v>20</v>
      </c>
      <c r="Z35" s="457"/>
      <c r="AA35" s="6"/>
      <c r="AB35" s="17"/>
      <c r="AC35" s="17"/>
      <c r="AD35" s="17"/>
      <c r="AE35" s="17"/>
      <c r="AF35" s="17"/>
    </row>
    <row r="36" spans="1:32" ht="13.5" customHeight="1">
      <c r="A36" s="50"/>
      <c r="B36" s="2007"/>
      <c r="C36" s="1566" t="s">
        <v>307</v>
      </c>
      <c r="D36" s="560"/>
      <c r="E36" s="80"/>
      <c r="F36" s="81"/>
      <c r="G36" s="186"/>
      <c r="H36" s="187"/>
      <c r="I36" s="192"/>
      <c r="J36" s="186">
        <v>16.5</v>
      </c>
      <c r="K36" s="187">
        <v>20.5</v>
      </c>
      <c r="L36" s="192"/>
      <c r="M36" s="424"/>
      <c r="N36" s="198"/>
      <c r="O36" s="426"/>
      <c r="P36" s="186">
        <v>16.5</v>
      </c>
      <c r="Q36" s="187">
        <v>20.5</v>
      </c>
      <c r="R36" s="192"/>
      <c r="S36" s="186">
        <v>14</v>
      </c>
      <c r="T36" s="187">
        <v>21</v>
      </c>
      <c r="U36" s="192">
        <v>1</v>
      </c>
      <c r="V36" s="853">
        <v>8</v>
      </c>
      <c r="W36" s="854">
        <v>16</v>
      </c>
      <c r="X36" s="855">
        <v>1</v>
      </c>
      <c r="Y36" s="1">
        <f t="shared" si="0"/>
        <v>21</v>
      </c>
      <c r="Z36" s="500"/>
      <c r="AA36" s="369"/>
      <c r="AB36" s="17"/>
      <c r="AC36" s="17"/>
      <c r="AD36" s="17"/>
      <c r="AE36" s="17"/>
      <c r="AF36" s="17"/>
    </row>
    <row r="37" spans="1:32" ht="13.5" customHeight="1">
      <c r="A37" s="50"/>
      <c r="B37" s="2007"/>
      <c r="C37" s="1566" t="s">
        <v>308</v>
      </c>
      <c r="D37" s="560"/>
      <c r="E37" s="80"/>
      <c r="F37" s="81"/>
      <c r="G37" s="186"/>
      <c r="H37" s="187"/>
      <c r="I37" s="192"/>
      <c r="J37" s="424"/>
      <c r="K37" s="198"/>
      <c r="L37" s="426"/>
      <c r="M37" s="635">
        <v>7</v>
      </c>
      <c r="N37" s="636">
        <v>12</v>
      </c>
      <c r="O37" s="637"/>
      <c r="P37" s="424"/>
      <c r="Q37" s="198"/>
      <c r="R37" s="426"/>
      <c r="S37" s="186">
        <v>14</v>
      </c>
      <c r="T37" s="187">
        <v>21</v>
      </c>
      <c r="U37" s="192">
        <v>1</v>
      </c>
      <c r="V37" s="79">
        <v>13.5</v>
      </c>
      <c r="W37" s="80">
        <v>20.5</v>
      </c>
      <c r="X37" s="247">
        <v>1</v>
      </c>
      <c r="Y37" s="1689">
        <f t="shared" si="0"/>
        <v>17</v>
      </c>
      <c r="Z37" s="500"/>
      <c r="AA37" s="369"/>
      <c r="AB37" s="17"/>
      <c r="AC37" s="17"/>
      <c r="AD37" s="17"/>
      <c r="AE37" s="17"/>
      <c r="AF37" s="17"/>
    </row>
    <row r="38" spans="1:32" ht="13.5" customHeight="1">
      <c r="A38" s="50"/>
      <c r="B38" s="2007"/>
      <c r="C38" s="1566" t="s">
        <v>309</v>
      </c>
      <c r="D38" s="560"/>
      <c r="E38" s="80"/>
      <c r="F38" s="81"/>
      <c r="G38" s="186"/>
      <c r="H38" s="187"/>
      <c r="I38" s="192"/>
      <c r="J38" s="424"/>
      <c r="K38" s="198"/>
      <c r="L38" s="426"/>
      <c r="M38" s="424"/>
      <c r="N38" s="198"/>
      <c r="O38" s="426"/>
      <c r="P38" s="186">
        <v>16.5</v>
      </c>
      <c r="Q38" s="187">
        <v>20.5</v>
      </c>
      <c r="R38" s="192"/>
      <c r="S38" s="635">
        <v>7</v>
      </c>
      <c r="T38" s="636">
        <v>15</v>
      </c>
      <c r="U38" s="637">
        <v>1</v>
      </c>
      <c r="V38" s="79">
        <v>13.5</v>
      </c>
      <c r="W38" s="80">
        <v>20.5</v>
      </c>
      <c r="X38" s="247">
        <v>1</v>
      </c>
      <c r="Y38" s="1689">
        <f t="shared" si="0"/>
        <v>17</v>
      </c>
      <c r="Z38" s="500"/>
      <c r="AA38" s="369"/>
      <c r="AB38" s="17"/>
      <c r="AC38" s="17"/>
      <c r="AD38" s="17"/>
      <c r="AE38" s="17"/>
      <c r="AF38" s="17"/>
    </row>
    <row r="39" spans="1:32" ht="13.5" customHeight="1">
      <c r="A39" s="50"/>
      <c r="B39" s="2007"/>
      <c r="C39" s="1566" t="s">
        <v>310</v>
      </c>
      <c r="D39" s="560"/>
      <c r="E39" s="80"/>
      <c r="F39" s="81"/>
      <c r="G39" s="186"/>
      <c r="H39" s="187"/>
      <c r="I39" s="192"/>
      <c r="J39" s="186">
        <v>16.5</v>
      </c>
      <c r="K39" s="187">
        <v>20.5</v>
      </c>
      <c r="L39" s="192"/>
      <c r="M39" s="424"/>
      <c r="N39" s="198"/>
      <c r="O39" s="426"/>
      <c r="P39" s="424"/>
      <c r="Q39" s="198"/>
      <c r="R39" s="426"/>
      <c r="S39" s="186">
        <v>15</v>
      </c>
      <c r="T39" s="187">
        <v>21</v>
      </c>
      <c r="U39" s="192">
        <v>1</v>
      </c>
      <c r="V39" s="79">
        <v>12.5</v>
      </c>
      <c r="W39" s="80">
        <v>20.5</v>
      </c>
      <c r="X39" s="247">
        <v>1</v>
      </c>
      <c r="Y39" s="1689">
        <f t="shared" si="0"/>
        <v>16</v>
      </c>
      <c r="Z39" s="500"/>
      <c r="AA39" s="369"/>
      <c r="AB39" s="17"/>
      <c r="AC39" s="17"/>
      <c r="AD39" s="17"/>
      <c r="AE39" s="17"/>
      <c r="AF39" s="17"/>
    </row>
    <row r="40" spans="1:32" ht="13.5" customHeight="1">
      <c r="A40" s="50"/>
      <c r="B40" s="2007"/>
      <c r="C40" s="1566" t="s">
        <v>311</v>
      </c>
      <c r="D40" s="560"/>
      <c r="E40" s="80"/>
      <c r="F40" s="81"/>
      <c r="G40" s="186"/>
      <c r="H40" s="187"/>
      <c r="I40" s="192"/>
      <c r="J40" s="424"/>
      <c r="K40" s="198"/>
      <c r="L40" s="426"/>
      <c r="M40" s="186">
        <v>15.5</v>
      </c>
      <c r="N40" s="187">
        <v>20.5</v>
      </c>
      <c r="O40" s="192"/>
      <c r="P40" s="635">
        <v>7</v>
      </c>
      <c r="Q40" s="636">
        <v>12</v>
      </c>
      <c r="R40" s="637"/>
      <c r="S40" s="186">
        <v>14</v>
      </c>
      <c r="T40" s="187">
        <v>21</v>
      </c>
      <c r="U40" s="192">
        <v>1</v>
      </c>
      <c r="V40" s="853">
        <v>8</v>
      </c>
      <c r="W40" s="854">
        <v>16</v>
      </c>
      <c r="X40" s="855">
        <v>1</v>
      </c>
      <c r="Y40" s="1">
        <f t="shared" si="0"/>
        <v>23</v>
      </c>
      <c r="Z40" s="500"/>
      <c r="AA40" s="369"/>
      <c r="AB40" s="17"/>
      <c r="AC40" s="17"/>
      <c r="AD40" s="17"/>
      <c r="AE40" s="17"/>
      <c r="AF40" s="17"/>
    </row>
    <row r="41" spans="1:32" ht="13.5" customHeight="1">
      <c r="A41" s="50"/>
      <c r="B41" s="2007"/>
      <c r="C41" s="1566" t="s">
        <v>312</v>
      </c>
      <c r="D41" s="560"/>
      <c r="E41" s="80"/>
      <c r="F41" s="81"/>
      <c r="G41" s="186"/>
      <c r="H41" s="187"/>
      <c r="I41" s="192"/>
      <c r="J41" s="635">
        <v>7</v>
      </c>
      <c r="K41" s="636">
        <v>12</v>
      </c>
      <c r="L41" s="637"/>
      <c r="M41" s="186">
        <v>12.5</v>
      </c>
      <c r="N41" s="187">
        <v>20.5</v>
      </c>
      <c r="O41" s="192">
        <v>1</v>
      </c>
      <c r="P41" s="424"/>
      <c r="Q41" s="198"/>
      <c r="R41" s="426"/>
      <c r="S41" s="186">
        <v>15</v>
      </c>
      <c r="T41" s="187">
        <v>21</v>
      </c>
      <c r="U41" s="192">
        <v>1</v>
      </c>
      <c r="V41" s="79">
        <v>12.5</v>
      </c>
      <c r="W41" s="80">
        <v>20.5</v>
      </c>
      <c r="X41" s="247">
        <v>1</v>
      </c>
      <c r="Y41" s="1689">
        <f t="shared" si="0"/>
        <v>24</v>
      </c>
      <c r="Z41" s="500"/>
      <c r="AA41" s="369"/>
      <c r="AB41" s="17"/>
      <c r="AC41" s="17"/>
      <c r="AD41" s="17"/>
      <c r="AE41" s="17"/>
      <c r="AF41" s="17"/>
    </row>
    <row r="42" spans="1:32" ht="13.5" customHeight="1">
      <c r="A42" s="50"/>
      <c r="B42" s="2007"/>
      <c r="C42" s="1566" t="s">
        <v>313</v>
      </c>
      <c r="D42" s="560"/>
      <c r="E42" s="80"/>
      <c r="F42" s="81"/>
      <c r="G42" s="186"/>
      <c r="H42" s="187"/>
      <c r="I42" s="192"/>
      <c r="J42" s="424"/>
      <c r="K42" s="198"/>
      <c r="L42" s="426"/>
      <c r="M42" s="424"/>
      <c r="N42" s="198"/>
      <c r="O42" s="426"/>
      <c r="P42" s="186">
        <v>16.5</v>
      </c>
      <c r="Q42" s="187">
        <v>20.5</v>
      </c>
      <c r="R42" s="192"/>
      <c r="S42" s="635">
        <v>7</v>
      </c>
      <c r="T42" s="636">
        <v>15</v>
      </c>
      <c r="U42" s="637">
        <v>1</v>
      </c>
      <c r="V42" s="79">
        <v>13.5</v>
      </c>
      <c r="W42" s="80">
        <v>20.5</v>
      </c>
      <c r="X42" s="247">
        <v>1</v>
      </c>
      <c r="Y42" s="1689">
        <f t="shared" si="0"/>
        <v>17</v>
      </c>
      <c r="Z42" s="500"/>
      <c r="AA42" s="369"/>
      <c r="AB42" s="17"/>
      <c r="AC42" s="17"/>
      <c r="AD42" s="17"/>
      <c r="AE42" s="17"/>
      <c r="AF42" s="17"/>
    </row>
    <row r="43" spans="1:32" ht="13.5" customHeight="1">
      <c r="A43" s="50"/>
      <c r="B43" s="2007"/>
      <c r="C43" s="1566" t="s">
        <v>314</v>
      </c>
      <c r="D43" s="560"/>
      <c r="E43" s="80"/>
      <c r="F43" s="81"/>
      <c r="G43" s="186"/>
      <c r="H43" s="187"/>
      <c r="I43" s="192"/>
      <c r="J43" s="186">
        <v>12.5</v>
      </c>
      <c r="K43" s="187">
        <v>20.5</v>
      </c>
      <c r="L43" s="192">
        <v>1</v>
      </c>
      <c r="M43" s="424"/>
      <c r="N43" s="198"/>
      <c r="O43" s="426"/>
      <c r="P43" s="186">
        <v>15.5</v>
      </c>
      <c r="Q43" s="187">
        <v>20.5</v>
      </c>
      <c r="R43" s="192"/>
      <c r="S43" s="186">
        <v>14</v>
      </c>
      <c r="T43" s="187">
        <v>21</v>
      </c>
      <c r="U43" s="192">
        <v>1</v>
      </c>
      <c r="V43" s="79">
        <v>12.5</v>
      </c>
      <c r="W43" s="80">
        <v>20.5</v>
      </c>
      <c r="X43" s="247">
        <v>1</v>
      </c>
      <c r="Y43" s="1689">
        <f t="shared" si="0"/>
        <v>25</v>
      </c>
      <c r="Z43" s="500"/>
      <c r="AA43" s="369"/>
      <c r="AB43" s="17"/>
      <c r="AC43" s="17"/>
      <c r="AD43" s="17"/>
      <c r="AE43" s="17"/>
      <c r="AF43" s="17"/>
    </row>
    <row r="44" spans="1:32" ht="13.5" customHeight="1">
      <c r="A44" s="50"/>
      <c r="B44" s="2311"/>
      <c r="C44" s="1563" t="s">
        <v>315</v>
      </c>
      <c r="D44" s="422"/>
      <c r="E44" s="92"/>
      <c r="F44" s="547"/>
      <c r="G44" s="606"/>
      <c r="H44" s="607"/>
      <c r="I44" s="608"/>
      <c r="J44" s="936"/>
      <c r="K44" s="937"/>
      <c r="L44" s="1120"/>
      <c r="M44" s="847">
        <v>7</v>
      </c>
      <c r="N44" s="848">
        <v>12</v>
      </c>
      <c r="O44" s="849"/>
      <c r="P44" s="606">
        <v>16.5</v>
      </c>
      <c r="Q44" s="607">
        <v>20.5</v>
      </c>
      <c r="R44" s="608"/>
      <c r="S44" s="606">
        <v>15</v>
      </c>
      <c r="T44" s="607">
        <v>21</v>
      </c>
      <c r="U44" s="608">
        <v>1</v>
      </c>
      <c r="V44" s="330">
        <v>13.5</v>
      </c>
      <c r="W44" s="331">
        <v>20.5</v>
      </c>
      <c r="X44" s="332">
        <v>1</v>
      </c>
      <c r="Y44" s="1689">
        <f t="shared" si="0"/>
        <v>20</v>
      </c>
      <c r="Z44" s="500"/>
      <c r="AA44" s="369"/>
      <c r="AB44" s="17"/>
      <c r="AC44" s="17"/>
      <c r="AD44" s="17"/>
      <c r="AE44" s="17"/>
      <c r="AF44" s="17"/>
    </row>
    <row r="45" spans="1:32" ht="13.5" customHeight="1">
      <c r="A45" s="50"/>
      <c r="B45" s="1789" t="s">
        <v>316</v>
      </c>
      <c r="C45" s="1606" t="s">
        <v>317</v>
      </c>
      <c r="D45" s="558"/>
      <c r="E45" s="237"/>
      <c r="F45" s="546"/>
      <c r="G45" s="292"/>
      <c r="H45" s="293"/>
      <c r="I45" s="530"/>
      <c r="J45" s="292">
        <v>16.5</v>
      </c>
      <c r="K45" s="293">
        <v>20.5</v>
      </c>
      <c r="L45" s="530"/>
      <c r="M45" s="586"/>
      <c r="N45" s="570"/>
      <c r="O45" s="890"/>
      <c r="P45" s="292">
        <v>12.5</v>
      </c>
      <c r="Q45" s="293">
        <v>20.5</v>
      </c>
      <c r="R45" s="530">
        <v>1</v>
      </c>
      <c r="S45" s="292">
        <v>15</v>
      </c>
      <c r="T45" s="293">
        <v>21</v>
      </c>
      <c r="U45" s="530">
        <v>1</v>
      </c>
      <c r="V45" s="244">
        <v>12.5</v>
      </c>
      <c r="W45" s="237">
        <v>20.5</v>
      </c>
      <c r="X45" s="546">
        <v>1</v>
      </c>
      <c r="Y45" s="1689">
        <f t="shared" ref="Y45:Y46" si="1">SUM(E45-D45-F45+H45-G45-I45+K45-J45-L45+N45-M45-O45+Q45-P45-R45+T45-S45-U45+W45-V45-X45)</f>
        <v>23</v>
      </c>
      <c r="Z45" s="500"/>
      <c r="AA45" s="369"/>
      <c r="AB45" s="17"/>
      <c r="AC45" s="17"/>
      <c r="AD45" s="17"/>
      <c r="AE45" s="17"/>
      <c r="AF45" s="17"/>
    </row>
    <row r="46" spans="1:32" ht="13.5" customHeight="1">
      <c r="A46" s="50"/>
      <c r="B46" s="2311"/>
      <c r="C46" s="1563" t="s">
        <v>318</v>
      </c>
      <c r="D46" s="599"/>
      <c r="E46" s="331"/>
      <c r="F46" s="655"/>
      <c r="G46" s="606"/>
      <c r="H46" s="607"/>
      <c r="I46" s="608"/>
      <c r="J46" s="606">
        <v>15.5</v>
      </c>
      <c r="K46" s="607">
        <v>20.5</v>
      </c>
      <c r="L46" s="608"/>
      <c r="M46" s="936"/>
      <c r="N46" s="937"/>
      <c r="O46" s="1120"/>
      <c r="P46" s="936"/>
      <c r="Q46" s="937"/>
      <c r="R46" s="1120"/>
      <c r="S46" s="606">
        <v>14</v>
      </c>
      <c r="T46" s="607">
        <v>21</v>
      </c>
      <c r="U46" s="608">
        <v>1</v>
      </c>
      <c r="V46" s="1614">
        <v>8</v>
      </c>
      <c r="W46" s="1011">
        <v>16</v>
      </c>
      <c r="X46" s="1615">
        <v>1</v>
      </c>
      <c r="Y46" s="1">
        <f t="shared" si="1"/>
        <v>18</v>
      </c>
      <c r="Z46" s="500"/>
      <c r="AA46" s="369"/>
      <c r="AB46" s="17"/>
      <c r="AC46" s="17"/>
      <c r="AD46" s="17"/>
      <c r="AE46" s="17"/>
      <c r="AF46" s="17"/>
    </row>
    <row r="47" spans="1:32">
      <c r="B47" s="32"/>
      <c r="C47" s="295"/>
      <c r="D47" s="1828">
        <f>COUNT(D9:D46)</f>
        <v>0</v>
      </c>
      <c r="E47" s="1829"/>
      <c r="F47" s="1833"/>
      <c r="G47" s="2193">
        <f t="shared" ref="G47" si="2">COUNT(G9:G46)</f>
        <v>0</v>
      </c>
      <c r="H47" s="2194"/>
      <c r="I47" s="2195"/>
      <c r="J47" s="2193">
        <f t="shared" ref="J47" si="3">COUNT(J9:J46)</f>
        <v>27</v>
      </c>
      <c r="K47" s="2194"/>
      <c r="L47" s="2195"/>
      <c r="M47" s="2193">
        <f t="shared" ref="M47" si="4">COUNT(M9:M46)</f>
        <v>24</v>
      </c>
      <c r="N47" s="2194"/>
      <c r="O47" s="2195"/>
      <c r="P47" s="2193">
        <f t="shared" ref="P47" si="5">COUNT(P9:P46)</f>
        <v>27</v>
      </c>
      <c r="Q47" s="2194"/>
      <c r="R47" s="2195"/>
      <c r="S47" s="2193">
        <f t="shared" ref="S47" si="6">COUNT(S9:S46)</f>
        <v>38</v>
      </c>
      <c r="T47" s="2194"/>
      <c r="U47" s="2194"/>
      <c r="V47" s="1836">
        <f t="shared" ref="V47" si="7">COUNT(V9:V46)</f>
        <v>26</v>
      </c>
      <c r="W47" s="1837"/>
      <c r="X47" s="1838"/>
      <c r="Y47" s="1932"/>
      <c r="Z47" s="1932"/>
      <c r="AA47" s="1932"/>
      <c r="AB47" s="17"/>
      <c r="AC47" s="17"/>
      <c r="AD47" s="17"/>
      <c r="AE47" s="17"/>
      <c r="AF47" s="17"/>
    </row>
    <row r="48" spans="1:32"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17"/>
      <c r="AC48" s="17"/>
      <c r="AD48" s="17"/>
      <c r="AE48" s="17"/>
      <c r="AF48" s="17"/>
    </row>
    <row r="49" spans="1:32"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17"/>
      <c r="AC49" s="17"/>
      <c r="AD49" s="17"/>
      <c r="AE49" s="17"/>
      <c r="AF49" s="17"/>
    </row>
    <row r="50" spans="1:32"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17"/>
      <c r="AC50" s="17"/>
      <c r="AD50" s="17"/>
      <c r="AE50" s="17"/>
      <c r="AF50" s="17"/>
    </row>
    <row r="51" spans="1:32">
      <c r="D51" s="50"/>
      <c r="E51" s="50"/>
      <c r="F51" s="50"/>
      <c r="G51" s="2271" t="s">
        <v>319</v>
      </c>
      <c r="H51" s="2272"/>
      <c r="I51" s="2272"/>
      <c r="J51" s="2280" t="s">
        <v>320</v>
      </c>
      <c r="K51" s="2281"/>
      <c r="L51" s="2282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17"/>
      <c r="AC51" s="17"/>
      <c r="AD51" s="17"/>
      <c r="AE51" s="17"/>
      <c r="AF51" s="17"/>
    </row>
    <row r="52" spans="1:32" ht="13.5" customHeight="1">
      <c r="D52" s="840"/>
      <c r="E52" s="840"/>
      <c r="F52" s="840"/>
      <c r="G52" s="2275" t="s">
        <v>321</v>
      </c>
      <c r="H52" s="2274"/>
      <c r="I52" s="2276"/>
      <c r="J52" s="2274" t="s">
        <v>322</v>
      </c>
      <c r="K52" s="2274"/>
      <c r="L52" s="2274"/>
      <c r="M52" s="2271" t="s">
        <v>323</v>
      </c>
      <c r="N52" s="2272"/>
      <c r="O52" s="2273"/>
      <c r="P52" s="840"/>
      <c r="Q52" s="840"/>
      <c r="R52" s="840"/>
      <c r="S52" s="840"/>
      <c r="T52" s="840"/>
      <c r="U52" s="840"/>
      <c r="V52" s="840"/>
      <c r="W52" s="840"/>
      <c r="X52" s="840"/>
      <c r="AB52" s="17"/>
      <c r="AC52" s="17"/>
      <c r="AD52" s="17"/>
      <c r="AE52" s="17"/>
      <c r="AF52" s="17"/>
    </row>
    <row r="53" spans="1:32" ht="15" customHeight="1">
      <c r="B53" s="50"/>
      <c r="C53" s="50"/>
      <c r="D53" s="2271" t="s">
        <v>324</v>
      </c>
      <c r="E53" s="2272"/>
      <c r="F53" s="2273"/>
      <c r="G53" s="2339" t="s">
        <v>325</v>
      </c>
      <c r="H53" s="2339"/>
      <c r="I53" s="2339"/>
      <c r="J53" s="2284"/>
      <c r="K53" s="2284"/>
      <c r="L53" s="2340"/>
      <c r="M53" s="2271" t="s">
        <v>326</v>
      </c>
      <c r="N53" s="2272"/>
      <c r="O53" s="2272"/>
      <c r="P53" s="2271" t="s">
        <v>260</v>
      </c>
      <c r="Q53" s="2272"/>
      <c r="R53" s="2273"/>
      <c r="S53" s="2292"/>
      <c r="T53" s="2292"/>
      <c r="U53" s="2292"/>
      <c r="V53" s="2292"/>
      <c r="W53" s="2292"/>
      <c r="X53" s="2292"/>
      <c r="Y53" s="50"/>
      <c r="AB53" s="17"/>
      <c r="AC53" s="17"/>
      <c r="AD53" s="17"/>
      <c r="AE53" s="17"/>
      <c r="AF53" s="17"/>
    </row>
    <row r="54" spans="1:32" ht="15" customHeight="1">
      <c r="A54" s="50"/>
      <c r="B54" s="2312" t="s">
        <v>275</v>
      </c>
      <c r="C54" s="2313"/>
      <c r="D54" s="1987" t="s">
        <v>327</v>
      </c>
      <c r="E54" s="1987"/>
      <c r="F54" s="2116"/>
      <c r="G54" s="1677"/>
      <c r="H54" s="1677"/>
      <c r="I54" s="1677"/>
      <c r="J54" s="1675"/>
      <c r="K54" s="1676"/>
      <c r="L54" s="1676"/>
      <c r="M54" s="2268"/>
      <c r="N54" s="2269"/>
      <c r="O54" s="2270"/>
      <c r="P54" s="2014"/>
      <c r="Q54" s="2014"/>
      <c r="R54" s="2014"/>
      <c r="S54" s="1982"/>
      <c r="T54" s="1983"/>
      <c r="U54" s="1983"/>
      <c r="V54" s="1874"/>
      <c r="W54" s="1875"/>
      <c r="X54" s="1876"/>
      <c r="Y54" s="50"/>
      <c r="Z54" s="50"/>
      <c r="AA54" s="47"/>
      <c r="AB54" s="17"/>
      <c r="AC54" s="17"/>
      <c r="AD54" s="17"/>
      <c r="AE54" s="17"/>
      <c r="AF54" s="17"/>
    </row>
    <row r="55" spans="1:32" ht="12.75" customHeight="1">
      <c r="A55" s="50"/>
      <c r="B55" s="2314"/>
      <c r="C55" s="2315"/>
      <c r="D55" s="2033"/>
      <c r="E55" s="2033"/>
      <c r="F55" s="2033"/>
      <c r="G55" s="2151" t="s">
        <v>91</v>
      </c>
      <c r="H55" s="2152"/>
      <c r="I55" s="2164"/>
      <c r="J55" s="2333" t="s">
        <v>60</v>
      </c>
      <c r="K55" s="2333"/>
      <c r="L55" s="2333"/>
      <c r="M55" s="2151" t="s">
        <v>91</v>
      </c>
      <c r="N55" s="2152"/>
      <c r="O55" s="2164"/>
      <c r="P55" s="2052"/>
      <c r="Q55" s="2052"/>
      <c r="R55" s="2052"/>
      <c r="S55" s="2331"/>
      <c r="T55" s="2332"/>
      <c r="U55" s="2332"/>
      <c r="V55" s="1877"/>
      <c r="W55" s="1878"/>
      <c r="X55" s="1879"/>
      <c r="Y55" s="17"/>
      <c r="Z55" s="17"/>
      <c r="AA55" s="17"/>
      <c r="AB55" s="17"/>
      <c r="AC55" s="2310" t="s">
        <v>42</v>
      </c>
      <c r="AD55" s="2137"/>
      <c r="AE55" s="17"/>
      <c r="AF55" s="17"/>
    </row>
    <row r="56" spans="1:32">
      <c r="B56" s="822" t="s">
        <v>1</v>
      </c>
      <c r="C56" s="18" t="s">
        <v>2</v>
      </c>
      <c r="D56" s="2223" t="s">
        <v>328</v>
      </c>
      <c r="E56" s="2223"/>
      <c r="F56" s="2224"/>
      <c r="G56" s="1972" t="s">
        <v>329</v>
      </c>
      <c r="H56" s="1973"/>
      <c r="I56" s="2301"/>
      <c r="J56" s="1972" t="s">
        <v>330</v>
      </c>
      <c r="K56" s="1973"/>
      <c r="L56" s="2301"/>
      <c r="M56" s="1828" t="s">
        <v>331</v>
      </c>
      <c r="N56" s="1829"/>
      <c r="O56" s="1833"/>
      <c r="P56" s="2295" t="s">
        <v>332</v>
      </c>
      <c r="Q56" s="2296"/>
      <c r="R56" s="2297"/>
      <c r="S56" s="2088" t="s">
        <v>333</v>
      </c>
      <c r="T56" s="2089"/>
      <c r="U56" s="2090"/>
      <c r="V56" s="2289" t="s">
        <v>334</v>
      </c>
      <c r="W56" s="2290"/>
      <c r="X56" s="2291"/>
      <c r="Y56" s="19" t="s">
        <v>5</v>
      </c>
      <c r="Z56" s="18" t="s">
        <v>6</v>
      </c>
      <c r="AA56" s="20" t="s">
        <v>7</v>
      </c>
      <c r="AB56" s="17"/>
      <c r="AC56" s="822" t="s">
        <v>2</v>
      </c>
      <c r="AD56" s="1" t="s">
        <v>50</v>
      </c>
      <c r="AE56" s="17"/>
      <c r="AF56" s="17"/>
    </row>
    <row r="57" spans="1:32" ht="12.75" customHeight="1">
      <c r="B57" s="924" t="s">
        <v>8</v>
      </c>
      <c r="C57" s="925" t="s">
        <v>277</v>
      </c>
      <c r="D57" s="915">
        <v>10.5</v>
      </c>
      <c r="E57" s="916">
        <v>20.5</v>
      </c>
      <c r="F57" s="1683">
        <v>1</v>
      </c>
      <c r="G57" s="1621">
        <v>8</v>
      </c>
      <c r="H57" s="1592">
        <v>18</v>
      </c>
      <c r="I57" s="1593">
        <v>1</v>
      </c>
      <c r="J57" s="1591">
        <v>8</v>
      </c>
      <c r="K57" s="1592">
        <v>18</v>
      </c>
      <c r="L57" s="1593">
        <v>1</v>
      </c>
      <c r="M57" s="907">
        <v>11.5</v>
      </c>
      <c r="N57" s="571">
        <v>20.5</v>
      </c>
      <c r="O57" s="587">
        <v>1</v>
      </c>
      <c r="P57" s="602">
        <v>7</v>
      </c>
      <c r="Q57" s="603">
        <v>12</v>
      </c>
      <c r="R57" s="921"/>
      <c r="S57" s="590"/>
      <c r="T57" s="572"/>
      <c r="U57" s="624"/>
      <c r="V57" s="590"/>
      <c r="W57" s="572"/>
      <c r="X57" s="914"/>
      <c r="Y57" s="19">
        <f>SUM(E57-D57-F57+H57-G57-I57+K57-J57-L57+N57-M57-O57+Q57-P57-R57+T57-S57-U57+W57-V57-X57)</f>
        <v>40</v>
      </c>
      <c r="Z57" s="18"/>
      <c r="AA57" s="826"/>
      <c r="AB57" s="17"/>
      <c r="AC57" s="926" t="s">
        <v>277</v>
      </c>
      <c r="AD57" s="1641">
        <f>Y9+Y57+Y105+Y147+Y186</f>
        <v>199</v>
      </c>
      <c r="AE57" s="17"/>
      <c r="AF57" s="17"/>
    </row>
    <row r="58" spans="1:32" ht="12.75" customHeight="1">
      <c r="B58" s="2004" t="s">
        <v>11</v>
      </c>
      <c r="C58" s="1315" t="s">
        <v>278</v>
      </c>
      <c r="D58" s="586"/>
      <c r="E58" s="570"/>
      <c r="F58" s="592"/>
      <c r="G58" s="970">
        <v>6</v>
      </c>
      <c r="H58" s="971">
        <v>11</v>
      </c>
      <c r="I58" s="1682"/>
      <c r="J58" s="542">
        <v>11.5</v>
      </c>
      <c r="K58" s="293">
        <v>20.5</v>
      </c>
      <c r="L58" s="294">
        <v>1</v>
      </c>
      <c r="M58" s="632">
        <v>8.5</v>
      </c>
      <c r="N58" s="633">
        <v>18.5</v>
      </c>
      <c r="O58" s="862">
        <v>1</v>
      </c>
      <c r="P58" s="586"/>
      <c r="Q58" s="570"/>
      <c r="R58" s="592"/>
      <c r="S58" s="292">
        <v>11</v>
      </c>
      <c r="T58" s="293">
        <v>21</v>
      </c>
      <c r="U58" s="530">
        <v>1</v>
      </c>
      <c r="V58" s="558">
        <v>10.5</v>
      </c>
      <c r="W58" s="237">
        <v>20.5</v>
      </c>
      <c r="X58" s="546">
        <v>1</v>
      </c>
      <c r="Y58" s="21">
        <f t="shared" ref="Y58:Y93" si="8">SUM(E58-D58-F58+H58-G58-I58+K58-J58-L58+N58-M58-O58+Q58-P58-R58+T58-S58-U58+W58-V58-X58)</f>
        <v>40</v>
      </c>
      <c r="Z58" s="2"/>
      <c r="AA58" s="268"/>
      <c r="AB58" s="17"/>
      <c r="AC58" s="1314" t="s">
        <v>278</v>
      </c>
      <c r="AD58" s="910" t="e">
        <f>Y10+Y58+#REF!+#REF!</f>
        <v>#REF!</v>
      </c>
      <c r="AE58" s="17"/>
      <c r="AF58" s="17"/>
    </row>
    <row r="59" spans="1:32" ht="12.75" customHeight="1">
      <c r="B59" s="2316"/>
      <c r="C59" s="1234" t="s">
        <v>279</v>
      </c>
      <c r="D59" s="186">
        <v>10.5</v>
      </c>
      <c r="E59" s="187">
        <v>20.5</v>
      </c>
      <c r="F59" s="188">
        <v>1</v>
      </c>
      <c r="G59" s="186">
        <v>10.5</v>
      </c>
      <c r="H59" s="187">
        <v>20.5</v>
      </c>
      <c r="I59" s="192">
        <v>1</v>
      </c>
      <c r="J59" s="191">
        <v>11.5</v>
      </c>
      <c r="K59" s="187">
        <v>20.5</v>
      </c>
      <c r="L59" s="188">
        <v>1</v>
      </c>
      <c r="M59" s="186">
        <v>10.5</v>
      </c>
      <c r="N59" s="187">
        <v>20.5</v>
      </c>
      <c r="O59" s="188">
        <v>1</v>
      </c>
      <c r="P59" s="635">
        <v>6</v>
      </c>
      <c r="Q59" s="636">
        <v>16</v>
      </c>
      <c r="R59" s="651">
        <v>1</v>
      </c>
      <c r="S59" s="424"/>
      <c r="T59" s="198"/>
      <c r="U59" s="426"/>
      <c r="V59" s="559"/>
      <c r="W59" s="174"/>
      <c r="X59" s="175"/>
      <c r="Y59" s="21">
        <f t="shared" si="8"/>
        <v>44</v>
      </c>
      <c r="Z59" s="297"/>
      <c r="AA59" s="55"/>
      <c r="AB59" s="17"/>
      <c r="AC59" s="927" t="s">
        <v>279</v>
      </c>
      <c r="AD59" s="910">
        <f>Y11+Y59+Y106+Y148</f>
        <v>154</v>
      </c>
      <c r="AE59" s="17"/>
      <c r="AF59" s="17"/>
    </row>
    <row r="60" spans="1:32" ht="12.75" customHeight="1">
      <c r="B60" s="2316"/>
      <c r="C60" s="1234" t="s">
        <v>280</v>
      </c>
      <c r="D60" s="635">
        <v>6</v>
      </c>
      <c r="E60" s="636">
        <v>16</v>
      </c>
      <c r="F60" s="651">
        <v>1</v>
      </c>
      <c r="G60" s="424"/>
      <c r="H60" s="198"/>
      <c r="I60" s="426"/>
      <c r="J60" s="191">
        <v>10.5</v>
      </c>
      <c r="K60" s="187">
        <v>20.5</v>
      </c>
      <c r="L60" s="188">
        <v>1</v>
      </c>
      <c r="M60" s="424"/>
      <c r="N60" s="198"/>
      <c r="O60" s="431"/>
      <c r="P60" s="186">
        <v>12</v>
      </c>
      <c r="Q60" s="187">
        <v>21</v>
      </c>
      <c r="R60" s="188">
        <v>1</v>
      </c>
      <c r="S60" s="186">
        <v>11</v>
      </c>
      <c r="T60" s="187">
        <v>21</v>
      </c>
      <c r="U60" s="192">
        <v>1</v>
      </c>
      <c r="V60" s="560">
        <v>10.5</v>
      </c>
      <c r="W60" s="80">
        <v>20.5</v>
      </c>
      <c r="X60" s="81">
        <v>1</v>
      </c>
      <c r="Y60" s="21">
        <f t="shared" si="8"/>
        <v>44</v>
      </c>
      <c r="Z60" s="297"/>
      <c r="AA60" s="55"/>
      <c r="AB60" s="17"/>
      <c r="AC60" s="927" t="s">
        <v>280</v>
      </c>
      <c r="AD60" s="910">
        <f>Y12+Y60+Y109+Y150</f>
        <v>163</v>
      </c>
      <c r="AE60" s="17"/>
      <c r="AF60" s="17"/>
    </row>
    <row r="61" spans="1:32" ht="12.75" customHeight="1">
      <c r="B61" s="2191"/>
      <c r="C61" s="1234" t="s">
        <v>281</v>
      </c>
      <c r="D61" s="407">
        <v>10.5</v>
      </c>
      <c r="E61" s="196">
        <v>20.5</v>
      </c>
      <c r="F61" s="408">
        <v>1</v>
      </c>
      <c r="G61" s="606">
        <v>10.5</v>
      </c>
      <c r="H61" s="607">
        <v>20.5</v>
      </c>
      <c r="I61" s="608">
        <v>1</v>
      </c>
      <c r="J61" s="1217">
        <v>6</v>
      </c>
      <c r="K61" s="940">
        <v>16</v>
      </c>
      <c r="L61" s="974">
        <v>1</v>
      </c>
      <c r="M61" s="407">
        <v>10.5</v>
      </c>
      <c r="N61" s="196">
        <v>20.5</v>
      </c>
      <c r="O61" s="408">
        <v>1</v>
      </c>
      <c r="P61" s="606">
        <v>12</v>
      </c>
      <c r="Q61" s="607">
        <v>21</v>
      </c>
      <c r="R61" s="905">
        <v>1</v>
      </c>
      <c r="S61" s="936"/>
      <c r="T61" s="937"/>
      <c r="U61" s="1120"/>
      <c r="V61" s="597"/>
      <c r="W61" s="212"/>
      <c r="X61" s="307"/>
      <c r="Y61" s="21">
        <f t="shared" si="8"/>
        <v>44</v>
      </c>
      <c r="Z61" s="298"/>
      <c r="AA61" s="269"/>
      <c r="AB61" s="17"/>
      <c r="AC61" s="927" t="s">
        <v>281</v>
      </c>
      <c r="AD61" s="910">
        <f>Y13+Y61+Y110+Y151</f>
        <v>160</v>
      </c>
      <c r="AE61" s="17"/>
      <c r="AF61" s="17"/>
    </row>
    <row r="62" spans="1:32" ht="12.75" customHeight="1">
      <c r="B62" s="2317" t="s">
        <v>52</v>
      </c>
      <c r="C62" s="204" t="s">
        <v>282</v>
      </c>
      <c r="D62" s="292">
        <v>10.5</v>
      </c>
      <c r="E62" s="293">
        <v>20.5</v>
      </c>
      <c r="F62" s="294">
        <v>1</v>
      </c>
      <c r="G62" s="1091">
        <v>11.5</v>
      </c>
      <c r="H62" s="1092">
        <v>20.5</v>
      </c>
      <c r="I62" s="1094">
        <v>1</v>
      </c>
      <c r="J62" s="586"/>
      <c r="K62" s="570"/>
      <c r="L62" s="592"/>
      <c r="M62" s="632">
        <v>7</v>
      </c>
      <c r="N62" s="633">
        <v>17</v>
      </c>
      <c r="O62" s="862">
        <v>1</v>
      </c>
      <c r="P62" s="1091">
        <v>11</v>
      </c>
      <c r="Q62" s="1092">
        <v>21</v>
      </c>
      <c r="R62" s="1094">
        <v>1</v>
      </c>
      <c r="S62" s="1091">
        <v>11</v>
      </c>
      <c r="T62" s="1092">
        <v>21</v>
      </c>
      <c r="U62" s="1094">
        <v>1</v>
      </c>
      <c r="V62" s="682"/>
      <c r="W62" s="683"/>
      <c r="X62" s="911"/>
      <c r="Y62" s="21">
        <f t="shared" si="8"/>
        <v>44</v>
      </c>
      <c r="Z62" s="524"/>
      <c r="AA62" s="54"/>
      <c r="AB62" s="17"/>
      <c r="AC62" s="922" t="s">
        <v>282</v>
      </c>
      <c r="AD62" s="910">
        <f>Y14+Y62+Y111+Y152</f>
        <v>155</v>
      </c>
      <c r="AE62" s="17"/>
      <c r="AF62" s="17"/>
    </row>
    <row r="63" spans="1:32" ht="12.75" customHeight="1">
      <c r="B63" s="2192"/>
      <c r="C63" s="1135" t="s">
        <v>283</v>
      </c>
      <c r="D63" s="186">
        <v>10.5</v>
      </c>
      <c r="E63" s="187">
        <v>20.5</v>
      </c>
      <c r="F63" s="188">
        <v>1</v>
      </c>
      <c r="G63" s="424"/>
      <c r="H63" s="198"/>
      <c r="I63" s="431"/>
      <c r="J63" s="186">
        <v>10.5</v>
      </c>
      <c r="K63" s="187">
        <v>20.5</v>
      </c>
      <c r="L63" s="188">
        <v>1</v>
      </c>
      <c r="M63" s="186">
        <v>11.5</v>
      </c>
      <c r="N63" s="187">
        <v>20.5</v>
      </c>
      <c r="O63" s="188">
        <v>1</v>
      </c>
      <c r="P63" s="186">
        <v>11</v>
      </c>
      <c r="Q63" s="187">
        <v>21</v>
      </c>
      <c r="R63" s="188">
        <v>1</v>
      </c>
      <c r="S63" s="635">
        <v>7</v>
      </c>
      <c r="T63" s="636">
        <v>17</v>
      </c>
      <c r="U63" s="651">
        <v>1</v>
      </c>
      <c r="V63" s="173"/>
      <c r="W63" s="174"/>
      <c r="X63" s="175"/>
      <c r="Y63" s="21">
        <f t="shared" si="8"/>
        <v>44</v>
      </c>
      <c r="Z63" s="297"/>
      <c r="AA63" s="55"/>
      <c r="AB63" s="17"/>
      <c r="AC63" s="923" t="s">
        <v>283</v>
      </c>
      <c r="AD63" s="910">
        <f>Y15+Y63+Y114+Y154</f>
        <v>163</v>
      </c>
      <c r="AE63" s="17"/>
      <c r="AF63" s="17"/>
    </row>
    <row r="64" spans="1:32" ht="12.75" customHeight="1">
      <c r="B64" s="2192"/>
      <c r="C64" s="1135" t="s">
        <v>287</v>
      </c>
      <c r="D64" s="635">
        <v>7</v>
      </c>
      <c r="E64" s="636">
        <v>12</v>
      </c>
      <c r="F64" s="651"/>
      <c r="G64" s="186">
        <v>11.5</v>
      </c>
      <c r="H64" s="187">
        <v>20.5</v>
      </c>
      <c r="I64" s="188">
        <v>1</v>
      </c>
      <c r="J64" s="424"/>
      <c r="K64" s="198"/>
      <c r="L64" s="431"/>
      <c r="M64" s="186">
        <v>10.5</v>
      </c>
      <c r="N64" s="187">
        <v>20.5</v>
      </c>
      <c r="O64" s="188">
        <v>1</v>
      </c>
      <c r="P64" s="424"/>
      <c r="Q64" s="198"/>
      <c r="R64" s="431"/>
      <c r="S64" s="186">
        <v>11</v>
      </c>
      <c r="T64" s="187">
        <v>21</v>
      </c>
      <c r="U64" s="188">
        <v>1</v>
      </c>
      <c r="V64" s="79">
        <v>10.5</v>
      </c>
      <c r="W64" s="80">
        <v>20.5</v>
      </c>
      <c r="X64" s="81">
        <v>1</v>
      </c>
      <c r="Y64" s="21">
        <f t="shared" si="8"/>
        <v>40</v>
      </c>
      <c r="Z64" s="362"/>
      <c r="AA64" s="6"/>
      <c r="AB64" s="17"/>
      <c r="AC64" s="923" t="s">
        <v>287</v>
      </c>
      <c r="AD64" s="910">
        <f>Y18+Y64+Y117+Y158</f>
        <v>156</v>
      </c>
      <c r="AE64" s="17"/>
      <c r="AF64" s="17"/>
    </row>
    <row r="65" spans="1:33" ht="12.75" customHeight="1">
      <c r="B65" s="2049"/>
      <c r="C65" s="1234" t="s">
        <v>288</v>
      </c>
      <c r="D65" s="407">
        <v>11.5</v>
      </c>
      <c r="E65" s="196">
        <v>20.5</v>
      </c>
      <c r="F65" s="408">
        <v>1</v>
      </c>
      <c r="G65" s="193"/>
      <c r="H65" s="194"/>
      <c r="I65" s="195"/>
      <c r="J65" s="939">
        <v>7</v>
      </c>
      <c r="K65" s="940">
        <v>16</v>
      </c>
      <c r="L65" s="974">
        <v>1</v>
      </c>
      <c r="M65" s="193"/>
      <c r="N65" s="194"/>
      <c r="O65" s="195"/>
      <c r="P65" s="407">
        <v>12</v>
      </c>
      <c r="Q65" s="196">
        <v>21</v>
      </c>
      <c r="R65" s="408">
        <v>1</v>
      </c>
      <c r="S65" s="407">
        <v>13</v>
      </c>
      <c r="T65" s="196">
        <v>21</v>
      </c>
      <c r="U65" s="408">
        <v>1</v>
      </c>
      <c r="V65" s="856">
        <v>8</v>
      </c>
      <c r="W65" s="857">
        <v>17</v>
      </c>
      <c r="X65" s="1014">
        <v>1</v>
      </c>
      <c r="Y65" s="21">
        <f t="shared" si="8"/>
        <v>39</v>
      </c>
      <c r="Z65" s="362"/>
      <c r="AA65" s="6"/>
      <c r="AB65" s="17"/>
      <c r="AC65" s="927" t="s">
        <v>288</v>
      </c>
      <c r="AD65" s="910">
        <f>Y19+Y65+Y118+Y159</f>
        <v>154</v>
      </c>
      <c r="AE65" s="17"/>
      <c r="AF65" s="17"/>
    </row>
    <row r="66" spans="1:33" ht="12.75" customHeight="1">
      <c r="B66" s="1642"/>
      <c r="C66" s="694" t="s">
        <v>284</v>
      </c>
      <c r="D66" s="586"/>
      <c r="E66" s="570"/>
      <c r="F66" s="592"/>
      <c r="G66" s="292">
        <v>10.5</v>
      </c>
      <c r="H66" s="293">
        <v>20.5</v>
      </c>
      <c r="I66" s="294">
        <v>1</v>
      </c>
      <c r="J66" s="292">
        <v>10.5</v>
      </c>
      <c r="K66" s="293">
        <v>20.5</v>
      </c>
      <c r="L66" s="294">
        <v>1</v>
      </c>
      <c r="M66" s="970">
        <v>7</v>
      </c>
      <c r="N66" s="971">
        <v>12</v>
      </c>
      <c r="O66" s="972"/>
      <c r="P66" s="586"/>
      <c r="Q66" s="570"/>
      <c r="R66" s="592"/>
      <c r="S66" s="292">
        <v>12</v>
      </c>
      <c r="T66" s="293">
        <v>21</v>
      </c>
      <c r="U66" s="294">
        <v>1</v>
      </c>
      <c r="V66" s="244">
        <v>10.5</v>
      </c>
      <c r="W66" s="237">
        <v>20.5</v>
      </c>
      <c r="X66" s="546">
        <v>1</v>
      </c>
      <c r="Y66" s="21">
        <f t="shared" si="8"/>
        <v>40</v>
      </c>
      <c r="Z66" s="362"/>
      <c r="AA66" s="6"/>
      <c r="AB66" s="17"/>
      <c r="AC66" s="956" t="s">
        <v>284</v>
      </c>
      <c r="AD66" s="910" t="e">
        <f>Y20+Y66+Y119+#REF!</f>
        <v>#REF!</v>
      </c>
      <c r="AE66" s="17"/>
      <c r="AF66" s="17"/>
    </row>
    <row r="67" spans="1:33" ht="12.75" customHeight="1">
      <c r="B67" s="1831" t="s">
        <v>171</v>
      </c>
      <c r="C67" s="1644" t="s">
        <v>289</v>
      </c>
      <c r="D67" s="424"/>
      <c r="E67" s="198"/>
      <c r="F67" s="431"/>
      <c r="G67" s="795">
        <v>6</v>
      </c>
      <c r="H67" s="796">
        <v>11</v>
      </c>
      <c r="I67" s="797"/>
      <c r="J67" s="186">
        <v>11.5</v>
      </c>
      <c r="K67" s="187">
        <v>20.5</v>
      </c>
      <c r="L67" s="188">
        <v>1</v>
      </c>
      <c r="M67" s="424"/>
      <c r="N67" s="198"/>
      <c r="O67" s="431"/>
      <c r="P67" s="186">
        <v>11</v>
      </c>
      <c r="Q67" s="187">
        <v>21</v>
      </c>
      <c r="R67" s="188">
        <v>1</v>
      </c>
      <c r="S67" s="186">
        <v>11</v>
      </c>
      <c r="T67" s="187">
        <v>21</v>
      </c>
      <c r="U67" s="188">
        <v>1</v>
      </c>
      <c r="V67" s="79">
        <v>10.5</v>
      </c>
      <c r="W67" s="80">
        <v>20.5</v>
      </c>
      <c r="X67" s="81">
        <v>1</v>
      </c>
      <c r="Y67" s="21">
        <f t="shared" si="8"/>
        <v>40</v>
      </c>
      <c r="Z67" s="362"/>
      <c r="AA67" s="6"/>
      <c r="AB67" s="17"/>
      <c r="AC67" s="1565" t="s">
        <v>289</v>
      </c>
      <c r="AD67" s="910" t="e">
        <f>Y20+Y67+Y119+#REF!</f>
        <v>#REF!</v>
      </c>
      <c r="AE67" s="23"/>
      <c r="AF67" s="17"/>
    </row>
    <row r="68" spans="1:33" ht="12.75" customHeight="1">
      <c r="B68" s="1831"/>
      <c r="C68" s="1644" t="s">
        <v>290</v>
      </c>
      <c r="D68" s="186">
        <v>10.5</v>
      </c>
      <c r="E68" s="187">
        <v>20.5</v>
      </c>
      <c r="F68" s="188">
        <v>1</v>
      </c>
      <c r="G68" s="424"/>
      <c r="H68" s="198"/>
      <c r="I68" s="431"/>
      <c r="J68" s="795">
        <v>6</v>
      </c>
      <c r="K68" s="796">
        <v>11</v>
      </c>
      <c r="L68" s="797"/>
      <c r="M68" s="186">
        <v>11.5</v>
      </c>
      <c r="N68" s="187">
        <v>20.5</v>
      </c>
      <c r="O68" s="188">
        <v>1</v>
      </c>
      <c r="P68" s="186">
        <v>11</v>
      </c>
      <c r="Q68" s="187">
        <v>21</v>
      </c>
      <c r="R68" s="188">
        <v>1</v>
      </c>
      <c r="S68" s="186">
        <v>11</v>
      </c>
      <c r="T68" s="187">
        <v>21</v>
      </c>
      <c r="U68" s="188">
        <v>1</v>
      </c>
      <c r="V68" s="173"/>
      <c r="W68" s="174"/>
      <c r="X68" s="175"/>
      <c r="Y68" s="21">
        <f t="shared" si="8"/>
        <v>40</v>
      </c>
      <c r="Z68" s="363"/>
      <c r="AA68" s="369"/>
      <c r="AB68" s="17"/>
      <c r="AC68" s="1565" t="s">
        <v>290</v>
      </c>
      <c r="AD68" s="910">
        <f t="shared" ref="AD68:AD79" si="9">Y21+Y68+Y120+Y160</f>
        <v>168</v>
      </c>
      <c r="AE68" s="17"/>
      <c r="AF68" s="17"/>
    </row>
    <row r="69" spans="1:33" ht="12.75" customHeight="1">
      <c r="B69" s="1831"/>
      <c r="C69" s="1644" t="s">
        <v>291</v>
      </c>
      <c r="D69" s="635">
        <v>6</v>
      </c>
      <c r="E69" s="636">
        <v>16</v>
      </c>
      <c r="F69" s="651">
        <v>1</v>
      </c>
      <c r="G69" s="186">
        <v>10.5</v>
      </c>
      <c r="H69" s="187">
        <v>20.5</v>
      </c>
      <c r="I69" s="188">
        <v>1</v>
      </c>
      <c r="J69" s="186">
        <v>11.5</v>
      </c>
      <c r="K69" s="187">
        <v>20.5</v>
      </c>
      <c r="L69" s="188">
        <v>1</v>
      </c>
      <c r="M69" s="424"/>
      <c r="N69" s="198"/>
      <c r="O69" s="431"/>
      <c r="P69" s="424"/>
      <c r="Q69" s="198"/>
      <c r="R69" s="431"/>
      <c r="S69" s="186">
        <v>11</v>
      </c>
      <c r="T69" s="187">
        <v>21</v>
      </c>
      <c r="U69" s="188">
        <v>1</v>
      </c>
      <c r="V69" s="79">
        <v>10.5</v>
      </c>
      <c r="W69" s="80">
        <v>20.5</v>
      </c>
      <c r="X69" s="81">
        <v>1</v>
      </c>
      <c r="Y69" s="21">
        <f t="shared" si="8"/>
        <v>44</v>
      </c>
      <c r="Z69" s="361"/>
      <c r="AA69" s="5"/>
      <c r="AB69" s="17"/>
      <c r="AC69" s="1565" t="s">
        <v>291</v>
      </c>
      <c r="AD69" s="910">
        <f t="shared" si="9"/>
        <v>160</v>
      </c>
      <c r="AE69" s="17"/>
      <c r="AF69" s="17"/>
    </row>
    <row r="70" spans="1:33" ht="13.5" customHeight="1">
      <c r="B70" s="1831"/>
      <c r="C70" s="1644" t="s">
        <v>292</v>
      </c>
      <c r="D70" s="186">
        <v>10.5</v>
      </c>
      <c r="E70" s="187">
        <v>20.5</v>
      </c>
      <c r="F70" s="188">
        <v>1</v>
      </c>
      <c r="G70" s="186">
        <v>10.5</v>
      </c>
      <c r="H70" s="187">
        <v>20.5</v>
      </c>
      <c r="I70" s="188">
        <v>1</v>
      </c>
      <c r="J70" s="424"/>
      <c r="K70" s="198"/>
      <c r="L70" s="431"/>
      <c r="M70" s="186">
        <v>10.5</v>
      </c>
      <c r="N70" s="187">
        <v>20.5</v>
      </c>
      <c r="O70" s="188">
        <v>1</v>
      </c>
      <c r="P70" s="186">
        <v>12</v>
      </c>
      <c r="Q70" s="187">
        <v>21</v>
      </c>
      <c r="R70" s="188">
        <v>1</v>
      </c>
      <c r="S70" s="635">
        <v>7</v>
      </c>
      <c r="T70" s="636">
        <v>17</v>
      </c>
      <c r="U70" s="651">
        <v>1</v>
      </c>
      <c r="V70" s="173"/>
      <c r="W70" s="174"/>
      <c r="X70" s="175"/>
      <c r="Y70" s="21">
        <f t="shared" si="8"/>
        <v>44</v>
      </c>
      <c r="Z70" s="362"/>
      <c r="AA70" s="6"/>
      <c r="AB70" s="17"/>
      <c r="AC70" s="1565" t="s">
        <v>292</v>
      </c>
      <c r="AD70" s="910">
        <f t="shared" si="9"/>
        <v>150</v>
      </c>
      <c r="AE70" s="17"/>
      <c r="AF70" s="17"/>
    </row>
    <row r="71" spans="1:33" ht="12.75" customHeight="1">
      <c r="B71" s="1831"/>
      <c r="C71" s="1644" t="s">
        <v>293</v>
      </c>
      <c r="D71" s="424"/>
      <c r="E71" s="198"/>
      <c r="F71" s="431"/>
      <c r="G71" s="424"/>
      <c r="H71" s="198"/>
      <c r="I71" s="431"/>
      <c r="J71" s="186">
        <v>10.5</v>
      </c>
      <c r="K71" s="187">
        <v>20.5</v>
      </c>
      <c r="L71" s="188">
        <v>1</v>
      </c>
      <c r="M71" s="186">
        <v>11.5</v>
      </c>
      <c r="N71" s="187">
        <v>20.5</v>
      </c>
      <c r="O71" s="188">
        <v>1</v>
      </c>
      <c r="P71" s="635">
        <v>7</v>
      </c>
      <c r="Q71" s="636">
        <v>17</v>
      </c>
      <c r="R71" s="651">
        <v>1</v>
      </c>
      <c r="S71" s="186">
        <v>11</v>
      </c>
      <c r="T71" s="187">
        <v>21</v>
      </c>
      <c r="U71" s="188">
        <v>1</v>
      </c>
      <c r="V71" s="79">
        <v>10.5</v>
      </c>
      <c r="W71" s="80">
        <v>20.5</v>
      </c>
      <c r="X71" s="81">
        <v>1</v>
      </c>
      <c r="Y71" s="21">
        <f t="shared" si="8"/>
        <v>44</v>
      </c>
      <c r="Z71" s="362"/>
      <c r="AA71" s="6"/>
      <c r="AB71" s="17"/>
      <c r="AC71" s="1565" t="s">
        <v>293</v>
      </c>
      <c r="AD71" s="910">
        <f t="shared" si="9"/>
        <v>154</v>
      </c>
      <c r="AE71" s="17"/>
      <c r="AF71" s="17"/>
    </row>
    <row r="72" spans="1:33" ht="12.75" customHeight="1">
      <c r="B72" s="1831"/>
      <c r="C72" s="1644" t="s">
        <v>295</v>
      </c>
      <c r="D72" s="424"/>
      <c r="E72" s="198"/>
      <c r="F72" s="431"/>
      <c r="G72" s="186">
        <v>11.5</v>
      </c>
      <c r="H72" s="187">
        <v>20.5</v>
      </c>
      <c r="I72" s="188">
        <v>1</v>
      </c>
      <c r="J72" s="186">
        <v>10.5</v>
      </c>
      <c r="K72" s="187">
        <v>20.5</v>
      </c>
      <c r="L72" s="188">
        <v>1</v>
      </c>
      <c r="M72" s="635">
        <v>7</v>
      </c>
      <c r="N72" s="636">
        <v>17</v>
      </c>
      <c r="O72" s="651">
        <v>1</v>
      </c>
      <c r="P72" s="186">
        <v>11</v>
      </c>
      <c r="Q72" s="187">
        <v>21</v>
      </c>
      <c r="R72" s="188">
        <v>1</v>
      </c>
      <c r="S72" s="186">
        <v>11</v>
      </c>
      <c r="T72" s="187">
        <v>21</v>
      </c>
      <c r="U72" s="188">
        <v>1</v>
      </c>
      <c r="V72" s="173"/>
      <c r="W72" s="174"/>
      <c r="X72" s="175"/>
      <c r="Y72" s="21">
        <f t="shared" si="8"/>
        <v>44</v>
      </c>
      <c r="Z72" s="362"/>
      <c r="AA72" s="6"/>
      <c r="AB72" s="17"/>
      <c r="AC72" s="1565" t="s">
        <v>295</v>
      </c>
      <c r="AD72" s="910">
        <f t="shared" si="9"/>
        <v>163</v>
      </c>
      <c r="AE72" s="17"/>
      <c r="AF72" s="17"/>
    </row>
    <row r="73" spans="1:33" ht="12.75" customHeight="1">
      <c r="B73" s="1831"/>
      <c r="C73" s="1644" t="s">
        <v>296</v>
      </c>
      <c r="D73" s="186">
        <v>11.5</v>
      </c>
      <c r="E73" s="187">
        <v>20.5</v>
      </c>
      <c r="F73" s="188">
        <v>1</v>
      </c>
      <c r="G73" s="186">
        <v>10.5</v>
      </c>
      <c r="H73" s="187">
        <v>20.5</v>
      </c>
      <c r="I73" s="188">
        <v>1</v>
      </c>
      <c r="J73" s="424"/>
      <c r="K73" s="198"/>
      <c r="L73" s="431"/>
      <c r="M73" s="795">
        <v>7</v>
      </c>
      <c r="N73" s="796">
        <v>12</v>
      </c>
      <c r="O73" s="797"/>
      <c r="P73" s="424"/>
      <c r="Q73" s="198"/>
      <c r="R73" s="431"/>
      <c r="S73" s="186">
        <v>11</v>
      </c>
      <c r="T73" s="187">
        <v>21</v>
      </c>
      <c r="U73" s="188">
        <v>1</v>
      </c>
      <c r="V73" s="79">
        <v>10.5</v>
      </c>
      <c r="W73" s="80">
        <v>20.5</v>
      </c>
      <c r="X73" s="81">
        <v>1</v>
      </c>
      <c r="Y73" s="21">
        <f t="shared" si="8"/>
        <v>40</v>
      </c>
      <c r="Z73" s="362"/>
      <c r="AA73" s="6"/>
      <c r="AB73" s="17"/>
      <c r="AC73" s="1565" t="s">
        <v>296</v>
      </c>
      <c r="AD73" s="910">
        <f t="shared" si="9"/>
        <v>157</v>
      </c>
      <c r="AE73" s="23"/>
      <c r="AF73" s="17"/>
    </row>
    <row r="74" spans="1:33" ht="12.75" customHeight="1">
      <c r="B74" s="1831"/>
      <c r="C74" s="1644" t="s">
        <v>297</v>
      </c>
      <c r="D74" s="424"/>
      <c r="E74" s="198"/>
      <c r="F74" s="431"/>
      <c r="G74" s="424"/>
      <c r="H74" s="198"/>
      <c r="I74" s="431"/>
      <c r="J74" s="186">
        <v>11.5</v>
      </c>
      <c r="K74" s="187">
        <v>20.5</v>
      </c>
      <c r="L74" s="188">
        <v>1</v>
      </c>
      <c r="M74" s="186">
        <v>10.5</v>
      </c>
      <c r="N74" s="187">
        <v>20.5</v>
      </c>
      <c r="O74" s="188">
        <v>1</v>
      </c>
      <c r="P74" s="186">
        <v>11</v>
      </c>
      <c r="Q74" s="187">
        <v>21</v>
      </c>
      <c r="R74" s="188">
        <v>1</v>
      </c>
      <c r="S74" s="635">
        <v>7</v>
      </c>
      <c r="T74" s="636">
        <v>17</v>
      </c>
      <c r="U74" s="651">
        <v>1</v>
      </c>
      <c r="V74" s="79">
        <v>10.5</v>
      </c>
      <c r="W74" s="80">
        <v>20.5</v>
      </c>
      <c r="X74" s="81">
        <v>1</v>
      </c>
      <c r="Y74" s="21">
        <f t="shared" si="8"/>
        <v>44</v>
      </c>
      <c r="Z74" s="364"/>
      <c r="AA74" s="14"/>
      <c r="AB74" s="17"/>
      <c r="AC74" s="1565" t="s">
        <v>297</v>
      </c>
      <c r="AD74" s="910">
        <f t="shared" si="9"/>
        <v>131</v>
      </c>
      <c r="AE74" s="23"/>
      <c r="AF74" s="17"/>
    </row>
    <row r="75" spans="1:33" ht="12.75" customHeight="1">
      <c r="B75" s="1831"/>
      <c r="C75" s="1644" t="s">
        <v>298</v>
      </c>
      <c r="D75" s="186">
        <v>11.5</v>
      </c>
      <c r="E75" s="187">
        <v>20.5</v>
      </c>
      <c r="F75" s="188">
        <v>1</v>
      </c>
      <c r="G75" s="635">
        <v>7</v>
      </c>
      <c r="H75" s="636">
        <v>17</v>
      </c>
      <c r="I75" s="651">
        <v>1</v>
      </c>
      <c r="J75" s="424"/>
      <c r="K75" s="198"/>
      <c r="L75" s="431"/>
      <c r="M75" s="424"/>
      <c r="N75" s="198"/>
      <c r="O75" s="431"/>
      <c r="P75" s="635">
        <v>6</v>
      </c>
      <c r="Q75" s="636">
        <v>16</v>
      </c>
      <c r="R75" s="651">
        <v>1</v>
      </c>
      <c r="S75" s="186">
        <v>11</v>
      </c>
      <c r="T75" s="187">
        <v>21</v>
      </c>
      <c r="U75" s="188">
        <v>1</v>
      </c>
      <c r="V75" s="79">
        <v>10.5</v>
      </c>
      <c r="W75" s="80">
        <v>20.5</v>
      </c>
      <c r="X75" s="81">
        <v>1</v>
      </c>
      <c r="Y75" s="21">
        <f t="shared" si="8"/>
        <v>44</v>
      </c>
      <c r="Z75" s="362"/>
      <c r="AA75" s="6"/>
      <c r="AB75" s="17"/>
      <c r="AC75" s="1565" t="s">
        <v>298</v>
      </c>
      <c r="AD75" s="910">
        <f t="shared" si="9"/>
        <v>149</v>
      </c>
      <c r="AE75" s="23"/>
      <c r="AF75" s="17"/>
    </row>
    <row r="76" spans="1:33" ht="12.75" customHeight="1">
      <c r="A76" s="50"/>
      <c r="B76" s="1831"/>
      <c r="C76" s="1644" t="s">
        <v>299</v>
      </c>
      <c r="D76" s="424"/>
      <c r="E76" s="198"/>
      <c r="F76" s="431"/>
      <c r="G76" s="186">
        <v>10.5</v>
      </c>
      <c r="H76" s="187">
        <v>20.5</v>
      </c>
      <c r="I76" s="188">
        <v>1</v>
      </c>
      <c r="J76" s="186">
        <v>11.5</v>
      </c>
      <c r="K76" s="187">
        <v>20.5</v>
      </c>
      <c r="L76" s="188">
        <v>1</v>
      </c>
      <c r="M76" s="186">
        <v>10.5</v>
      </c>
      <c r="N76" s="187">
        <v>20.5</v>
      </c>
      <c r="O76" s="188">
        <v>1</v>
      </c>
      <c r="P76" s="424"/>
      <c r="Q76" s="198"/>
      <c r="R76" s="431"/>
      <c r="S76" s="186">
        <v>11</v>
      </c>
      <c r="T76" s="187">
        <v>21</v>
      </c>
      <c r="U76" s="188">
        <v>1</v>
      </c>
      <c r="V76" s="853">
        <v>8</v>
      </c>
      <c r="W76" s="854">
        <v>18</v>
      </c>
      <c r="X76" s="1013">
        <v>1</v>
      </c>
      <c r="Y76" s="21">
        <f t="shared" si="8"/>
        <v>44</v>
      </c>
      <c r="Z76" s="362"/>
      <c r="AA76" s="6"/>
      <c r="AB76" s="17"/>
      <c r="AC76" s="1565" t="s">
        <v>299</v>
      </c>
      <c r="AD76" s="910">
        <f t="shared" si="9"/>
        <v>96</v>
      </c>
      <c r="AE76" s="23"/>
      <c r="AF76" s="17"/>
      <c r="AG76" s="50"/>
    </row>
    <row r="77" spans="1:33" ht="12.75" customHeight="1">
      <c r="A77" s="50"/>
      <c r="B77" s="1831"/>
      <c r="C77" s="1644" t="s">
        <v>300</v>
      </c>
      <c r="D77" s="73">
        <v>10.5</v>
      </c>
      <c r="E77" s="74">
        <v>20.5</v>
      </c>
      <c r="F77" s="75">
        <v>1</v>
      </c>
      <c r="G77" s="225"/>
      <c r="H77" s="226"/>
      <c r="I77" s="248"/>
      <c r="J77" s="785">
        <v>7</v>
      </c>
      <c r="K77" s="786">
        <v>12</v>
      </c>
      <c r="L77" s="787"/>
      <c r="M77" s="225"/>
      <c r="N77" s="226"/>
      <c r="O77" s="248"/>
      <c r="P77" s="73">
        <v>11</v>
      </c>
      <c r="Q77" s="74">
        <v>21</v>
      </c>
      <c r="R77" s="75">
        <v>1</v>
      </c>
      <c r="S77" s="73">
        <v>11</v>
      </c>
      <c r="T77" s="74">
        <v>21</v>
      </c>
      <c r="U77" s="75">
        <v>1</v>
      </c>
      <c r="V77" s="79">
        <v>10.5</v>
      </c>
      <c r="W77" s="80">
        <v>20.5</v>
      </c>
      <c r="X77" s="81">
        <v>1</v>
      </c>
      <c r="Y77" s="20">
        <f t="shared" si="8"/>
        <v>41</v>
      </c>
      <c r="Z77" s="23"/>
      <c r="AA77" s="366"/>
      <c r="AB77" s="17"/>
      <c r="AC77" s="1602" t="s">
        <v>300</v>
      </c>
      <c r="AD77" s="910">
        <f t="shared" si="9"/>
        <v>124</v>
      </c>
      <c r="AE77" s="23"/>
      <c r="AF77" s="17"/>
      <c r="AG77" s="50"/>
    </row>
    <row r="78" spans="1:33" ht="12.75" hidden="1" customHeight="1">
      <c r="A78" s="50"/>
      <c r="B78" s="1110"/>
      <c r="C78" s="1645" t="s">
        <v>301</v>
      </c>
      <c r="D78" s="82"/>
      <c r="E78" s="83"/>
      <c r="F78" s="84"/>
      <c r="G78" s="82"/>
      <c r="H78" s="83"/>
      <c r="I78" s="84"/>
      <c r="J78" s="82"/>
      <c r="K78" s="83"/>
      <c r="L78" s="84"/>
      <c r="M78" s="82"/>
      <c r="N78" s="83"/>
      <c r="O78" s="84"/>
      <c r="P78" s="82"/>
      <c r="Q78" s="83"/>
      <c r="R78" s="84"/>
      <c r="S78" s="82"/>
      <c r="T78" s="83"/>
      <c r="U78" s="84"/>
      <c r="V78" s="211"/>
      <c r="W78" s="212"/>
      <c r="X78" s="307"/>
      <c r="Y78" s="20">
        <f t="shared" si="8"/>
        <v>0</v>
      </c>
      <c r="Z78" s="23"/>
      <c r="AA78" s="366"/>
      <c r="AB78" s="17"/>
      <c r="AC78" s="1624" t="s">
        <v>301</v>
      </c>
      <c r="AD78" s="910">
        <f t="shared" si="9"/>
        <v>104</v>
      </c>
      <c r="AE78" s="23"/>
      <c r="AF78" s="17"/>
      <c r="AG78" s="50"/>
    </row>
    <row r="79" spans="1:33" ht="12.75" customHeight="1">
      <c r="A79" s="50"/>
      <c r="B79" s="1662" t="s">
        <v>302</v>
      </c>
      <c r="C79" s="1663" t="s">
        <v>303</v>
      </c>
      <c r="D79" s="1596">
        <v>12.5</v>
      </c>
      <c r="E79" s="1597">
        <v>20.5</v>
      </c>
      <c r="F79" s="1598">
        <v>1</v>
      </c>
      <c r="G79" s="313">
        <v>12.5</v>
      </c>
      <c r="H79" s="311">
        <v>20.5</v>
      </c>
      <c r="I79" s="1646">
        <v>1</v>
      </c>
      <c r="J79" s="1647">
        <v>12.5</v>
      </c>
      <c r="K79" s="962">
        <v>20.5</v>
      </c>
      <c r="L79" s="963">
        <v>1</v>
      </c>
      <c r="M79" s="1596">
        <v>12.5</v>
      </c>
      <c r="N79" s="1597">
        <v>20.5</v>
      </c>
      <c r="O79" s="1598">
        <v>1</v>
      </c>
      <c r="P79" s="1647">
        <v>12</v>
      </c>
      <c r="Q79" s="962">
        <v>21</v>
      </c>
      <c r="R79" s="963">
        <v>1</v>
      </c>
      <c r="S79" s="968">
        <v>7</v>
      </c>
      <c r="T79" s="969">
        <v>16</v>
      </c>
      <c r="U79" s="1664">
        <v>1</v>
      </c>
      <c r="V79" s="1665"/>
      <c r="W79" s="1666"/>
      <c r="X79" s="1667"/>
      <c r="Y79" s="20">
        <f t="shared" si="8"/>
        <v>44</v>
      </c>
      <c r="Z79" s="441"/>
      <c r="AA79" s="368"/>
      <c r="AB79" s="17"/>
      <c r="AC79" s="1623" t="s">
        <v>303</v>
      </c>
      <c r="AD79" s="910">
        <f t="shared" si="9"/>
        <v>132</v>
      </c>
      <c r="AE79" s="23"/>
      <c r="AF79" s="17"/>
      <c r="AG79" s="50"/>
    </row>
    <row r="80" spans="1:33" ht="12.75" customHeight="1">
      <c r="A80" s="50"/>
      <c r="B80" s="2007"/>
      <c r="C80" s="1606" t="s">
        <v>304</v>
      </c>
      <c r="D80" s="356"/>
      <c r="E80" s="323"/>
      <c r="F80" s="768"/>
      <c r="G80" s="356"/>
      <c r="H80" s="323"/>
      <c r="I80" s="768"/>
      <c r="J80" s="354">
        <v>16.5</v>
      </c>
      <c r="K80" s="63">
        <v>20.5</v>
      </c>
      <c r="L80" s="412"/>
      <c r="M80" s="1129">
        <v>7</v>
      </c>
      <c r="N80" s="1130">
        <v>12</v>
      </c>
      <c r="O80" s="1140"/>
      <c r="P80" s="354">
        <v>17</v>
      </c>
      <c r="Q80" s="63">
        <v>21</v>
      </c>
      <c r="R80" s="412"/>
      <c r="S80" s="354">
        <v>10</v>
      </c>
      <c r="T80" s="63">
        <v>18</v>
      </c>
      <c r="U80" s="412">
        <v>1</v>
      </c>
      <c r="V80" s="70">
        <v>14.5</v>
      </c>
      <c r="W80" s="71">
        <v>20.5</v>
      </c>
      <c r="X80" s="151">
        <v>1</v>
      </c>
      <c r="Y80" s="18">
        <f t="shared" si="8"/>
        <v>25</v>
      </c>
      <c r="Z80" s="529"/>
      <c r="AA80" s="5"/>
      <c r="AB80" s="17"/>
      <c r="AC80" s="1606" t="s">
        <v>304</v>
      </c>
      <c r="AD80" s="910">
        <f t="shared" ref="AD80:AD88" si="10">Y33+Y80+Y126+Y166+Y206</f>
        <v>121</v>
      </c>
      <c r="AE80" s="19">
        <v>120</v>
      </c>
      <c r="AF80" s="1492">
        <f>AE80-AD80</f>
        <v>-1</v>
      </c>
      <c r="AG80" s="50"/>
    </row>
    <row r="81" spans="1:33" ht="12.75" customHeight="1">
      <c r="A81" s="50"/>
      <c r="B81" s="2007"/>
      <c r="C81" s="1566" t="s">
        <v>305</v>
      </c>
      <c r="D81" s="73">
        <v>16.5</v>
      </c>
      <c r="E81" s="74">
        <v>20.5</v>
      </c>
      <c r="F81" s="480"/>
      <c r="G81" s="73">
        <v>16.5</v>
      </c>
      <c r="H81" s="74">
        <v>20.5</v>
      </c>
      <c r="I81" s="480"/>
      <c r="J81" s="225"/>
      <c r="K81" s="226"/>
      <c r="L81" s="430"/>
      <c r="M81" s="73">
        <v>16.5</v>
      </c>
      <c r="N81" s="74">
        <v>20.5</v>
      </c>
      <c r="O81" s="480"/>
      <c r="P81" s="225"/>
      <c r="Q81" s="226"/>
      <c r="R81" s="430"/>
      <c r="S81" s="316">
        <v>7</v>
      </c>
      <c r="T81" s="317">
        <v>16</v>
      </c>
      <c r="U81" s="638">
        <v>1</v>
      </c>
      <c r="V81" s="79">
        <v>12.5</v>
      </c>
      <c r="W81" s="80">
        <v>20.5</v>
      </c>
      <c r="X81" s="247">
        <v>1</v>
      </c>
      <c r="Y81" s="18">
        <f t="shared" si="8"/>
        <v>27</v>
      </c>
      <c r="Z81" s="457"/>
      <c r="AA81" s="6"/>
      <c r="AB81" s="17"/>
      <c r="AC81" s="1566" t="s">
        <v>305</v>
      </c>
      <c r="AD81" s="910">
        <f t="shared" si="10"/>
        <v>120</v>
      </c>
      <c r="AE81" s="19">
        <v>120</v>
      </c>
      <c r="AF81" s="1492">
        <f t="shared" ref="AF81:AF93" si="11">AE81-AD81</f>
        <v>0</v>
      </c>
      <c r="AG81" s="50"/>
    </row>
    <row r="82" spans="1:33" ht="12.75" customHeight="1">
      <c r="A82" s="50"/>
      <c r="B82" s="2007"/>
      <c r="C82" s="1566" t="s">
        <v>306</v>
      </c>
      <c r="D82" s="316">
        <v>7</v>
      </c>
      <c r="E82" s="317">
        <v>12</v>
      </c>
      <c r="F82" s="638"/>
      <c r="G82" s="225"/>
      <c r="H82" s="226"/>
      <c r="I82" s="430"/>
      <c r="J82" s="73">
        <v>16.5</v>
      </c>
      <c r="K82" s="74">
        <v>20.5</v>
      </c>
      <c r="L82" s="480"/>
      <c r="M82" s="73">
        <v>12.5</v>
      </c>
      <c r="N82" s="74">
        <v>20.5</v>
      </c>
      <c r="O82" s="480">
        <v>1</v>
      </c>
      <c r="P82" s="1684"/>
      <c r="Q82" s="1685"/>
      <c r="R82" s="1686"/>
      <c r="S82" s="1684"/>
      <c r="T82" s="1685"/>
      <c r="U82" s="1686"/>
      <c r="V82" s="990"/>
      <c r="W82" s="991"/>
      <c r="X82" s="992"/>
      <c r="Y82" s="18">
        <f t="shared" si="8"/>
        <v>16</v>
      </c>
      <c r="Z82" s="457"/>
      <c r="AA82" s="6"/>
      <c r="AB82" s="17"/>
      <c r="AC82" s="1566" t="s">
        <v>306</v>
      </c>
      <c r="AD82" s="910">
        <f t="shared" si="10"/>
        <v>68</v>
      </c>
      <c r="AE82" s="19">
        <v>120</v>
      </c>
      <c r="AF82" s="1492">
        <f t="shared" si="11"/>
        <v>52</v>
      </c>
      <c r="AG82" s="50"/>
    </row>
    <row r="83" spans="1:33">
      <c r="B83" s="2007"/>
      <c r="C83" s="1566" t="s">
        <v>307</v>
      </c>
      <c r="D83" s="186">
        <v>16.5</v>
      </c>
      <c r="E83" s="187">
        <v>20.5</v>
      </c>
      <c r="F83" s="192"/>
      <c r="G83" s="186">
        <v>16.5</v>
      </c>
      <c r="H83" s="187">
        <v>20.5</v>
      </c>
      <c r="I83" s="192"/>
      <c r="J83" s="424"/>
      <c r="K83" s="198"/>
      <c r="L83" s="426"/>
      <c r="M83" s="424"/>
      <c r="N83" s="198"/>
      <c r="O83" s="426"/>
      <c r="P83" s="635">
        <v>7</v>
      </c>
      <c r="Q83" s="636">
        <v>12</v>
      </c>
      <c r="R83" s="637"/>
      <c r="S83" s="186">
        <v>14</v>
      </c>
      <c r="T83" s="187">
        <v>21</v>
      </c>
      <c r="U83" s="192">
        <v>1</v>
      </c>
      <c r="V83" s="79">
        <v>13.5</v>
      </c>
      <c r="W83" s="80">
        <v>20.5</v>
      </c>
      <c r="X83" s="247">
        <v>1</v>
      </c>
      <c r="Y83" s="18">
        <f t="shared" si="8"/>
        <v>25</v>
      </c>
      <c r="Z83" s="500"/>
      <c r="AA83" s="369"/>
      <c r="AB83" s="17"/>
      <c r="AC83" s="1566" t="s">
        <v>307</v>
      </c>
      <c r="AD83" s="910">
        <f t="shared" si="10"/>
        <v>120</v>
      </c>
      <c r="AE83" s="19">
        <v>120</v>
      </c>
      <c r="AF83" s="1492">
        <f t="shared" si="11"/>
        <v>0</v>
      </c>
      <c r="AG83" s="50"/>
    </row>
    <row r="84" spans="1:33">
      <c r="B84" s="2007"/>
      <c r="C84" s="1566" t="s">
        <v>308</v>
      </c>
      <c r="D84" s="424"/>
      <c r="E84" s="198"/>
      <c r="F84" s="426"/>
      <c r="G84" s="186">
        <v>15.5</v>
      </c>
      <c r="H84" s="187">
        <v>20.5</v>
      </c>
      <c r="I84" s="192"/>
      <c r="J84" s="186">
        <v>15.5</v>
      </c>
      <c r="K84" s="187">
        <v>20.5</v>
      </c>
      <c r="L84" s="192"/>
      <c r="M84" s="635">
        <v>7</v>
      </c>
      <c r="N84" s="636">
        <v>15</v>
      </c>
      <c r="O84" s="637">
        <v>1</v>
      </c>
      <c r="P84" s="424"/>
      <c r="Q84" s="198"/>
      <c r="R84" s="426"/>
      <c r="S84" s="186">
        <v>12</v>
      </c>
      <c r="T84" s="187">
        <v>21</v>
      </c>
      <c r="U84" s="192">
        <v>1</v>
      </c>
      <c r="V84" s="79">
        <v>14.5</v>
      </c>
      <c r="W84" s="80">
        <v>20.5</v>
      </c>
      <c r="X84" s="247">
        <v>1</v>
      </c>
      <c r="Y84" s="18">
        <f t="shared" si="8"/>
        <v>30</v>
      </c>
      <c r="Z84" s="500"/>
      <c r="AA84" s="369"/>
      <c r="AB84" s="17"/>
      <c r="AC84" s="1566" t="s">
        <v>308</v>
      </c>
      <c r="AD84" s="910">
        <f t="shared" si="10"/>
        <v>120</v>
      </c>
      <c r="AE84" s="19">
        <v>120</v>
      </c>
      <c r="AF84" s="1492">
        <f t="shared" si="11"/>
        <v>0</v>
      </c>
      <c r="AG84" s="50"/>
    </row>
    <row r="85" spans="1:33">
      <c r="B85" s="2007"/>
      <c r="C85" s="1566" t="s">
        <v>309</v>
      </c>
      <c r="D85" s="635">
        <v>7</v>
      </c>
      <c r="E85" s="636">
        <v>15</v>
      </c>
      <c r="F85" s="637"/>
      <c r="G85" s="424"/>
      <c r="H85" s="198"/>
      <c r="I85" s="426"/>
      <c r="J85" s="424"/>
      <c r="K85" s="198"/>
      <c r="L85" s="426"/>
      <c r="M85" s="186">
        <v>15.5</v>
      </c>
      <c r="N85" s="187">
        <v>20.5</v>
      </c>
      <c r="O85" s="192"/>
      <c r="P85" s="186">
        <v>13</v>
      </c>
      <c r="Q85" s="187">
        <v>21</v>
      </c>
      <c r="R85" s="192">
        <v>1</v>
      </c>
      <c r="S85" s="186">
        <v>13</v>
      </c>
      <c r="T85" s="187">
        <v>21</v>
      </c>
      <c r="U85" s="192">
        <v>1</v>
      </c>
      <c r="V85" s="853">
        <v>8</v>
      </c>
      <c r="W85" s="854">
        <v>16</v>
      </c>
      <c r="X85" s="855">
        <v>1</v>
      </c>
      <c r="Y85" s="18">
        <f t="shared" si="8"/>
        <v>34</v>
      </c>
      <c r="Z85" s="500"/>
      <c r="AA85" s="369"/>
      <c r="AB85" s="17"/>
      <c r="AC85" s="1566" t="s">
        <v>309</v>
      </c>
      <c r="AD85" s="910">
        <f t="shared" si="10"/>
        <v>121</v>
      </c>
      <c r="AE85" s="19">
        <v>120</v>
      </c>
      <c r="AF85" s="1492">
        <f t="shared" si="11"/>
        <v>-1</v>
      </c>
      <c r="AG85" s="50"/>
    </row>
    <row r="86" spans="1:33" ht="13.5" customHeight="1">
      <c r="B86" s="2007"/>
      <c r="C86" s="1566" t="s">
        <v>310</v>
      </c>
      <c r="D86" s="186">
        <v>12.5</v>
      </c>
      <c r="E86" s="187">
        <v>20.5</v>
      </c>
      <c r="F86" s="192">
        <v>1</v>
      </c>
      <c r="G86" s="635">
        <v>7</v>
      </c>
      <c r="H86" s="636">
        <v>15</v>
      </c>
      <c r="I86" s="637">
        <v>1</v>
      </c>
      <c r="J86" s="186">
        <v>15.5</v>
      </c>
      <c r="K86" s="187">
        <v>20.5</v>
      </c>
      <c r="L86" s="192"/>
      <c r="M86" s="424"/>
      <c r="N86" s="198"/>
      <c r="O86" s="1688"/>
      <c r="P86" s="424"/>
      <c r="Q86" s="198"/>
      <c r="R86" s="426"/>
      <c r="S86" s="186">
        <v>13</v>
      </c>
      <c r="T86" s="187">
        <v>21</v>
      </c>
      <c r="U86" s="192">
        <v>1</v>
      </c>
      <c r="V86" s="79">
        <v>13.5</v>
      </c>
      <c r="W86" s="80">
        <v>20.5</v>
      </c>
      <c r="X86" s="247">
        <v>1</v>
      </c>
      <c r="Y86" s="18">
        <f t="shared" si="8"/>
        <v>32</v>
      </c>
      <c r="Z86" s="500"/>
      <c r="AA86" s="369"/>
      <c r="AB86" s="17"/>
      <c r="AC86" s="1566" t="s">
        <v>310</v>
      </c>
      <c r="AD86" s="910">
        <f t="shared" si="10"/>
        <v>119</v>
      </c>
      <c r="AE86" s="19">
        <v>120</v>
      </c>
      <c r="AF86" s="1492">
        <f t="shared" si="11"/>
        <v>1</v>
      </c>
      <c r="AG86" s="50"/>
    </row>
    <row r="87" spans="1:33" ht="15" customHeight="1">
      <c r="B87" s="2007"/>
      <c r="C87" s="1566" t="s">
        <v>311</v>
      </c>
      <c r="D87" s="424"/>
      <c r="E87" s="198"/>
      <c r="F87" s="426"/>
      <c r="G87" s="424"/>
      <c r="H87" s="198"/>
      <c r="I87" s="426"/>
      <c r="J87" s="635">
        <v>7</v>
      </c>
      <c r="K87" s="636">
        <v>12</v>
      </c>
      <c r="L87" s="637"/>
      <c r="M87" s="186">
        <v>16.5</v>
      </c>
      <c r="N87" s="187">
        <v>20.5</v>
      </c>
      <c r="O87" s="192"/>
      <c r="P87" s="186">
        <v>17</v>
      </c>
      <c r="Q87" s="187">
        <v>21</v>
      </c>
      <c r="R87" s="192"/>
      <c r="S87" s="186">
        <v>14</v>
      </c>
      <c r="T87" s="187">
        <v>21</v>
      </c>
      <c r="U87" s="192">
        <v>1</v>
      </c>
      <c r="V87" s="79">
        <v>14.5</v>
      </c>
      <c r="W87" s="80">
        <v>20.5</v>
      </c>
      <c r="X87" s="247">
        <v>1</v>
      </c>
      <c r="Y87" s="18">
        <f t="shared" si="8"/>
        <v>24</v>
      </c>
      <c r="Z87" s="500"/>
      <c r="AA87" s="369"/>
      <c r="AB87" s="17"/>
      <c r="AC87" s="1566" t="s">
        <v>311</v>
      </c>
      <c r="AD87" s="910">
        <f t="shared" si="10"/>
        <v>120</v>
      </c>
      <c r="AE87" s="19">
        <v>120</v>
      </c>
      <c r="AF87" s="1492">
        <f t="shared" si="11"/>
        <v>0</v>
      </c>
      <c r="AG87" s="50"/>
    </row>
    <row r="88" spans="1:33" ht="15" customHeight="1">
      <c r="B88" s="2007"/>
      <c r="C88" s="1566" t="s">
        <v>312</v>
      </c>
      <c r="D88" s="186">
        <v>16.5</v>
      </c>
      <c r="E88" s="187">
        <v>20.5</v>
      </c>
      <c r="F88" s="192"/>
      <c r="G88" s="186">
        <v>16.5</v>
      </c>
      <c r="H88" s="187">
        <v>20.5</v>
      </c>
      <c r="I88" s="192"/>
      <c r="J88" s="424"/>
      <c r="K88" s="198"/>
      <c r="L88" s="426"/>
      <c r="M88" s="424"/>
      <c r="N88" s="198"/>
      <c r="O88" s="426"/>
      <c r="P88" s="635">
        <v>7</v>
      </c>
      <c r="Q88" s="636">
        <v>12</v>
      </c>
      <c r="R88" s="637"/>
      <c r="S88" s="186">
        <v>14</v>
      </c>
      <c r="T88" s="187">
        <v>21</v>
      </c>
      <c r="U88" s="192">
        <v>1</v>
      </c>
      <c r="V88" s="79">
        <v>14.5</v>
      </c>
      <c r="W88" s="80">
        <v>20.5</v>
      </c>
      <c r="X88" s="247">
        <v>1</v>
      </c>
      <c r="Y88" s="18">
        <f t="shared" si="8"/>
        <v>24</v>
      </c>
      <c r="Z88" s="500"/>
      <c r="AA88" s="369"/>
      <c r="AB88" s="17"/>
      <c r="AC88" s="1566" t="s">
        <v>312</v>
      </c>
      <c r="AD88" s="910">
        <f t="shared" si="10"/>
        <v>120</v>
      </c>
      <c r="AE88" s="19">
        <v>120</v>
      </c>
      <c r="AF88" s="1492">
        <f t="shared" si="11"/>
        <v>0</v>
      </c>
      <c r="AG88" s="50"/>
    </row>
    <row r="89" spans="1:33">
      <c r="B89" s="2007"/>
      <c r="C89" s="1566" t="s">
        <v>313</v>
      </c>
      <c r="D89" s="424"/>
      <c r="E89" s="198"/>
      <c r="F89" s="426"/>
      <c r="G89" s="186">
        <v>15.5</v>
      </c>
      <c r="H89" s="187">
        <v>20.5</v>
      </c>
      <c r="I89" s="192"/>
      <c r="J89" s="186">
        <v>15.5</v>
      </c>
      <c r="K89" s="187">
        <v>20.5</v>
      </c>
      <c r="L89" s="192"/>
      <c r="M89" s="186">
        <v>15.5</v>
      </c>
      <c r="N89" s="187">
        <v>20.5</v>
      </c>
      <c r="O89" s="192"/>
      <c r="P89" s="424"/>
      <c r="Q89" s="198"/>
      <c r="R89" s="426"/>
      <c r="S89" s="186">
        <v>13</v>
      </c>
      <c r="T89" s="187">
        <v>21</v>
      </c>
      <c r="U89" s="192">
        <v>1</v>
      </c>
      <c r="V89" s="853">
        <v>8</v>
      </c>
      <c r="W89" s="854">
        <v>17</v>
      </c>
      <c r="X89" s="855">
        <v>1</v>
      </c>
      <c r="Y89" s="18">
        <f t="shared" si="8"/>
        <v>30</v>
      </c>
      <c r="Z89" s="500"/>
      <c r="AA89" s="369"/>
      <c r="AB89" s="17"/>
      <c r="AC89" s="1566" t="s">
        <v>313</v>
      </c>
      <c r="AD89" s="910" t="e">
        <f>Y42+Y89+#REF!+#REF!+#REF!</f>
        <v>#REF!</v>
      </c>
      <c r="AE89" s="19">
        <v>120</v>
      </c>
      <c r="AF89" s="1492" t="e">
        <f t="shared" si="11"/>
        <v>#REF!</v>
      </c>
      <c r="AG89" s="50"/>
    </row>
    <row r="90" spans="1:33" ht="13.5" customHeight="1">
      <c r="B90" s="2007"/>
      <c r="C90" s="1566" t="s">
        <v>314</v>
      </c>
      <c r="D90" s="186">
        <v>16.5</v>
      </c>
      <c r="E90" s="187">
        <v>20.5</v>
      </c>
      <c r="F90" s="192"/>
      <c r="G90" s="424"/>
      <c r="H90" s="198"/>
      <c r="I90" s="426"/>
      <c r="J90" s="424"/>
      <c r="K90" s="198"/>
      <c r="L90" s="426"/>
      <c r="M90" s="186">
        <v>16.5</v>
      </c>
      <c r="N90" s="187">
        <v>20.5</v>
      </c>
      <c r="O90" s="192"/>
      <c r="P90" s="186">
        <v>17</v>
      </c>
      <c r="Q90" s="187">
        <v>21</v>
      </c>
      <c r="R90" s="192"/>
      <c r="S90" s="186">
        <v>14</v>
      </c>
      <c r="T90" s="187">
        <v>21</v>
      </c>
      <c r="U90" s="192">
        <v>1</v>
      </c>
      <c r="V90" s="853">
        <v>8</v>
      </c>
      <c r="W90" s="854">
        <v>17</v>
      </c>
      <c r="X90" s="855">
        <v>1</v>
      </c>
      <c r="Y90" s="18">
        <f t="shared" si="8"/>
        <v>26</v>
      </c>
      <c r="Z90" s="500"/>
      <c r="AA90" s="369"/>
      <c r="AB90" s="17"/>
      <c r="AC90" s="1566" t="s">
        <v>314</v>
      </c>
      <c r="AD90" s="910">
        <f>Y43+Y90+Y135+Y175+Y215</f>
        <v>120</v>
      </c>
      <c r="AE90" s="19">
        <v>120</v>
      </c>
      <c r="AF90" s="1492">
        <f t="shared" si="11"/>
        <v>0</v>
      </c>
      <c r="AG90" s="50"/>
    </row>
    <row r="91" spans="1:33" ht="13.5" customHeight="1">
      <c r="B91" s="2311"/>
      <c r="C91" s="1563" t="s">
        <v>315</v>
      </c>
      <c r="D91" s="407">
        <v>16.5</v>
      </c>
      <c r="E91" s="196">
        <v>20.5</v>
      </c>
      <c r="F91" s="310"/>
      <c r="G91" s="606">
        <v>16.5</v>
      </c>
      <c r="H91" s="607">
        <v>20.5</v>
      </c>
      <c r="I91" s="608"/>
      <c r="J91" s="936"/>
      <c r="K91" s="937"/>
      <c r="L91" s="1120"/>
      <c r="M91" s="606">
        <v>16.5</v>
      </c>
      <c r="N91" s="607">
        <v>20.5</v>
      </c>
      <c r="O91" s="608"/>
      <c r="P91" s="936"/>
      <c r="Q91" s="937"/>
      <c r="R91" s="1120"/>
      <c r="S91" s="847">
        <v>7</v>
      </c>
      <c r="T91" s="848">
        <v>16</v>
      </c>
      <c r="U91" s="849">
        <v>1</v>
      </c>
      <c r="V91" s="330">
        <v>14.5</v>
      </c>
      <c r="W91" s="331">
        <v>20.5</v>
      </c>
      <c r="X91" s="332">
        <v>1</v>
      </c>
      <c r="Y91" s="18">
        <f t="shared" si="8"/>
        <v>25</v>
      </c>
      <c r="Z91" s="500"/>
      <c r="AA91" s="369"/>
      <c r="AB91" s="17"/>
      <c r="AC91" s="1567" t="s">
        <v>335</v>
      </c>
      <c r="AD91" s="910">
        <f>Y44+Y91+Y136+Y176+Y216</f>
        <v>97</v>
      </c>
      <c r="AE91" s="19">
        <v>120</v>
      </c>
      <c r="AF91" s="1492">
        <f t="shared" si="11"/>
        <v>23</v>
      </c>
      <c r="AG91" s="50"/>
    </row>
    <row r="92" spans="1:33" ht="13.5" customHeight="1">
      <c r="B92" s="1789" t="s">
        <v>316</v>
      </c>
      <c r="C92" s="1606" t="s">
        <v>317</v>
      </c>
      <c r="D92" s="589"/>
      <c r="E92" s="570"/>
      <c r="F92" s="890"/>
      <c r="G92" s="632">
        <v>7</v>
      </c>
      <c r="H92" s="633">
        <v>12</v>
      </c>
      <c r="I92" s="634"/>
      <c r="J92" s="292">
        <v>16.5</v>
      </c>
      <c r="K92" s="293">
        <v>20.5</v>
      </c>
      <c r="L92" s="530"/>
      <c r="M92" s="586"/>
      <c r="N92" s="570"/>
      <c r="O92" s="890"/>
      <c r="P92" s="292">
        <v>17</v>
      </c>
      <c r="Q92" s="293">
        <v>21</v>
      </c>
      <c r="R92" s="530"/>
      <c r="S92" s="292">
        <v>14</v>
      </c>
      <c r="T92" s="293">
        <v>21</v>
      </c>
      <c r="U92" s="530">
        <v>1</v>
      </c>
      <c r="V92" s="244">
        <v>14.5</v>
      </c>
      <c r="W92" s="237">
        <v>20.5</v>
      </c>
      <c r="X92" s="245">
        <v>1</v>
      </c>
      <c r="Y92" s="18">
        <f t="shared" si="8"/>
        <v>24</v>
      </c>
      <c r="Z92" s="500"/>
      <c r="AA92" s="369"/>
      <c r="AB92" s="17"/>
      <c r="AC92" s="1562" t="s">
        <v>317</v>
      </c>
      <c r="AD92" s="910">
        <f>Y45+Y92+Y137+Y177+Y217</f>
        <v>120</v>
      </c>
      <c r="AE92" s="19">
        <v>120</v>
      </c>
      <c r="AF92" s="1492">
        <f t="shared" si="11"/>
        <v>0</v>
      </c>
      <c r="AG92" s="50"/>
    </row>
    <row r="93" spans="1:33" ht="13.5" customHeight="1">
      <c r="B93" s="2311"/>
      <c r="C93" s="1563" t="s">
        <v>318</v>
      </c>
      <c r="D93" s="309">
        <v>16.5</v>
      </c>
      <c r="E93" s="196">
        <v>20.5</v>
      </c>
      <c r="F93" s="310"/>
      <c r="G93" s="193"/>
      <c r="H93" s="194"/>
      <c r="I93" s="1525"/>
      <c r="J93" s="407">
        <v>12.5</v>
      </c>
      <c r="K93" s="196">
        <v>20.5</v>
      </c>
      <c r="L93" s="310">
        <v>1</v>
      </c>
      <c r="M93" s="407">
        <v>15.5</v>
      </c>
      <c r="N93" s="196">
        <v>20.5</v>
      </c>
      <c r="O93" s="310"/>
      <c r="P93" s="193"/>
      <c r="Q93" s="194"/>
      <c r="R93" s="1525"/>
      <c r="S93" s="939">
        <v>7</v>
      </c>
      <c r="T93" s="940">
        <v>16</v>
      </c>
      <c r="U93" s="941">
        <v>1</v>
      </c>
      <c r="V93" s="91">
        <v>13.5</v>
      </c>
      <c r="W93" s="92">
        <v>20.5</v>
      </c>
      <c r="X93" s="118">
        <v>1</v>
      </c>
      <c r="Y93" s="1">
        <f t="shared" si="8"/>
        <v>30</v>
      </c>
      <c r="Z93" s="500"/>
      <c r="AA93" s="369"/>
      <c r="AB93" s="17"/>
      <c r="AC93" s="1563" t="s">
        <v>318</v>
      </c>
      <c r="AD93" s="910">
        <f>Y46+Y93+Y138+Y178+Y218</f>
        <v>117</v>
      </c>
      <c r="AE93" s="764">
        <v>120</v>
      </c>
      <c r="AF93" s="964">
        <f t="shared" si="11"/>
        <v>3</v>
      </c>
      <c r="AG93" s="50"/>
    </row>
    <row r="94" spans="1:33" ht="13.5" customHeight="1">
      <c r="B94" s="32"/>
      <c r="C94" s="295"/>
      <c r="D94" s="1836">
        <f>COUNT(D57:D93)</f>
        <v>24</v>
      </c>
      <c r="E94" s="1837"/>
      <c r="F94" s="1838"/>
      <c r="G94" s="1836">
        <f t="shared" ref="G94" si="12">COUNT(G57:G93)</f>
        <v>23</v>
      </c>
      <c r="H94" s="1837"/>
      <c r="I94" s="1838"/>
      <c r="J94" s="1836">
        <f t="shared" ref="J94" si="13">COUNT(J57:J93)</f>
        <v>25</v>
      </c>
      <c r="K94" s="1837"/>
      <c r="L94" s="1838"/>
      <c r="M94" s="1836">
        <f t="shared" ref="M94" si="14">COUNT(M57:M93)</f>
        <v>26</v>
      </c>
      <c r="N94" s="1837"/>
      <c r="O94" s="1838"/>
      <c r="P94" s="1836">
        <f t="shared" ref="P94" si="15">COUNT(P57:P93)</f>
        <v>23</v>
      </c>
      <c r="Q94" s="1837"/>
      <c r="R94" s="1838"/>
      <c r="S94" s="1836">
        <f t="shared" ref="S94" si="16">COUNT(S57:S93)</f>
        <v>32</v>
      </c>
      <c r="T94" s="1837"/>
      <c r="U94" s="1837"/>
      <c r="V94" s="1836">
        <f t="shared" ref="V94" si="17">COUNT(V57:V93)</f>
        <v>26</v>
      </c>
      <c r="W94" s="1837"/>
      <c r="X94" s="1838"/>
      <c r="Y94" s="1932"/>
      <c r="Z94" s="1932"/>
      <c r="AA94" s="1932"/>
      <c r="AB94" s="17"/>
      <c r="AC94" s="17"/>
      <c r="AD94" s="17"/>
      <c r="AE94" s="17"/>
      <c r="AF94" s="17"/>
    </row>
    <row r="95" spans="1:33" ht="13.5" customHeight="1">
      <c r="A95" s="50"/>
      <c r="B95" s="384"/>
      <c r="C95" s="384"/>
      <c r="D95" s="1088"/>
      <c r="E95" s="1088"/>
      <c r="F95" s="1088"/>
      <c r="G95" s="1088"/>
      <c r="H95" s="1088"/>
      <c r="I95" s="1088"/>
      <c r="J95" s="1564"/>
      <c r="K95" s="1564"/>
      <c r="L95" s="1564"/>
      <c r="M95" s="1564"/>
      <c r="N95" s="1564"/>
      <c r="O95" s="1564"/>
      <c r="P95" s="1088"/>
      <c r="Q95" s="1088"/>
      <c r="R95" s="1088"/>
      <c r="S95" s="1104"/>
      <c r="T95" s="1104"/>
      <c r="U95" s="1104"/>
      <c r="V95" s="1089"/>
      <c r="W95" s="1089"/>
      <c r="X95" s="1089"/>
      <c r="Y95" s="50"/>
      <c r="Z95" s="50"/>
      <c r="AA95" s="47"/>
      <c r="AB95" s="17"/>
      <c r="AC95" s="17"/>
      <c r="AD95" s="17"/>
      <c r="AE95" s="17"/>
      <c r="AF95" s="17"/>
    </row>
    <row r="96" spans="1:33" ht="13.5" customHeight="1">
      <c r="A96" s="50"/>
      <c r="B96" s="384"/>
      <c r="C96" s="384"/>
      <c r="D96" s="1088"/>
      <c r="E96" s="1088"/>
      <c r="F96" s="1088"/>
      <c r="G96" s="1088"/>
      <c r="H96" s="1088"/>
      <c r="I96" s="1088"/>
      <c r="J96" s="1564"/>
      <c r="K96" s="1564"/>
      <c r="L96" s="1564"/>
      <c r="M96" s="1564"/>
      <c r="N96" s="1564"/>
      <c r="O96" s="1564"/>
      <c r="P96" s="1088"/>
      <c r="Q96" s="1088"/>
      <c r="R96" s="1088"/>
      <c r="S96" s="1104"/>
      <c r="T96" s="1104"/>
      <c r="U96" s="1104"/>
      <c r="V96" s="1089"/>
      <c r="W96" s="1089"/>
      <c r="X96" s="1089"/>
      <c r="Y96" s="50"/>
      <c r="Z96" s="50"/>
      <c r="AA96" s="47"/>
      <c r="AB96" s="17"/>
      <c r="AC96" s="17"/>
      <c r="AD96" s="17"/>
      <c r="AE96" s="17"/>
      <c r="AF96" s="17"/>
    </row>
    <row r="97" spans="1:32" ht="13.5" customHeight="1">
      <c r="A97" s="50"/>
      <c r="B97" s="384"/>
      <c r="C97" s="384"/>
      <c r="D97" s="1088"/>
      <c r="E97" s="1088"/>
      <c r="F97" s="1088"/>
      <c r="G97" s="1088"/>
      <c r="H97" s="1088"/>
      <c r="I97" s="1088"/>
      <c r="J97" s="1564"/>
      <c r="K97" s="1564"/>
      <c r="L97" s="1564"/>
      <c r="M97" s="1564"/>
      <c r="N97" s="1564"/>
      <c r="O97" s="1564"/>
      <c r="P97" s="1088"/>
      <c r="Q97" s="1088"/>
      <c r="R97" s="1088"/>
      <c r="S97" s="1104"/>
      <c r="T97" s="1104"/>
      <c r="U97" s="1104"/>
      <c r="V97" s="1089"/>
      <c r="W97" s="1089"/>
      <c r="X97" s="1089"/>
      <c r="Y97" s="50"/>
      <c r="Z97" s="50"/>
      <c r="AA97" s="47"/>
      <c r="AB97" s="17"/>
      <c r="AC97" s="17"/>
      <c r="AD97" s="17"/>
      <c r="AE97" s="17"/>
      <c r="AF97" s="17"/>
    </row>
    <row r="98" spans="1:32" ht="13.5" customHeight="1">
      <c r="A98" s="50"/>
      <c r="B98" s="384"/>
      <c r="C98" s="384"/>
      <c r="D98" s="1088"/>
      <c r="E98" s="1088"/>
      <c r="F98" s="1088"/>
      <c r="G98" s="1088"/>
      <c r="H98" s="1088"/>
      <c r="I98" s="1088"/>
      <c r="J98" s="1564"/>
      <c r="K98" s="1564"/>
      <c r="L98" s="1564"/>
      <c r="M98" s="1564"/>
      <c r="N98" s="1564"/>
      <c r="O98" s="1564"/>
      <c r="P98" s="1088"/>
      <c r="Q98" s="1088"/>
      <c r="R98" s="1088"/>
      <c r="S98" s="1104"/>
      <c r="T98" s="1104"/>
      <c r="U98" s="1104"/>
      <c r="V98" s="1089"/>
      <c r="W98" s="1089"/>
      <c r="X98" s="1089"/>
      <c r="Y98" s="50"/>
      <c r="Z98" s="50"/>
      <c r="AA98" s="47"/>
      <c r="AB98" s="17"/>
      <c r="AC98" s="17"/>
      <c r="AD98" s="17"/>
      <c r="AE98" s="17"/>
      <c r="AF98" s="17"/>
    </row>
    <row r="99" spans="1:32" ht="13.5" customHeight="1">
      <c r="A99" s="50"/>
      <c r="B99" s="384"/>
      <c r="C99" s="384"/>
      <c r="D99" s="1088"/>
      <c r="E99" s="1088"/>
      <c r="F99" s="1088"/>
      <c r="G99" s="1088"/>
      <c r="H99" s="1088"/>
      <c r="I99" s="1088"/>
      <c r="J99" s="1564"/>
      <c r="K99" s="1564"/>
      <c r="L99" s="1564"/>
      <c r="M99" s="1564"/>
      <c r="N99" s="1564"/>
      <c r="O99" s="1564"/>
      <c r="P99" s="1088"/>
      <c r="Q99" s="1088"/>
      <c r="R99" s="1088"/>
      <c r="S99" s="1104"/>
      <c r="T99" s="1104"/>
      <c r="U99" s="1104"/>
      <c r="V99" s="1089"/>
      <c r="W99" s="1089"/>
      <c r="X99" s="1089"/>
      <c r="Y99" s="50"/>
      <c r="Z99" s="50"/>
      <c r="AA99" s="47"/>
      <c r="AB99" s="17"/>
      <c r="AC99" s="17"/>
      <c r="AD99" s="17"/>
      <c r="AE99" s="17"/>
      <c r="AF99" s="17"/>
    </row>
    <row r="100" spans="1:32" ht="13.5" customHeight="1">
      <c r="A100" s="50"/>
      <c r="B100" s="384"/>
      <c r="C100" s="384"/>
      <c r="D100" s="1088"/>
      <c r="E100" s="1088"/>
      <c r="F100" s="1088"/>
      <c r="G100" s="2271" t="s">
        <v>336</v>
      </c>
      <c r="H100" s="2272"/>
      <c r="I100" s="2272"/>
      <c r="J100" s="2271" t="s">
        <v>337</v>
      </c>
      <c r="K100" s="2272"/>
      <c r="L100" s="2273"/>
      <c r="M100" s="2272" t="s">
        <v>338</v>
      </c>
      <c r="N100" s="2272"/>
      <c r="O100" s="2273"/>
      <c r="P100" s="1088"/>
      <c r="Q100" s="1088"/>
      <c r="R100" s="1088"/>
      <c r="S100" s="1104"/>
      <c r="T100" s="1104"/>
      <c r="U100" s="1104"/>
      <c r="V100" s="1089"/>
      <c r="W100" s="1089"/>
      <c r="X100" s="1089"/>
      <c r="Y100" s="50"/>
      <c r="Z100" s="50"/>
      <c r="AA100" s="47"/>
      <c r="AB100" s="17"/>
      <c r="AC100" s="17"/>
      <c r="AD100" s="17"/>
      <c r="AE100" s="17"/>
      <c r="AF100" s="17"/>
    </row>
    <row r="101" spans="1:32" ht="13.5" customHeight="1">
      <c r="A101" s="50"/>
      <c r="B101" s="50"/>
      <c r="C101" s="50"/>
      <c r="D101" s="840"/>
      <c r="E101" s="840"/>
      <c r="F101" s="840"/>
      <c r="G101" s="2277" t="s">
        <v>339</v>
      </c>
      <c r="H101" s="2278"/>
      <c r="I101" s="2278"/>
      <c r="J101" s="2277" t="s">
        <v>340</v>
      </c>
      <c r="K101" s="2278"/>
      <c r="L101" s="2279"/>
      <c r="M101" s="2335" t="s">
        <v>341</v>
      </c>
      <c r="N101" s="2335"/>
      <c r="O101" s="2335"/>
      <c r="P101" s="2336" t="s">
        <v>342</v>
      </c>
      <c r="Q101" s="2337"/>
      <c r="R101" s="2338"/>
      <c r="S101" s="2292"/>
      <c r="T101" s="2292"/>
      <c r="U101" s="2292"/>
      <c r="V101" s="2292"/>
      <c r="W101" s="2292"/>
      <c r="X101" s="2292"/>
      <c r="Y101" s="50"/>
      <c r="AB101" s="17"/>
      <c r="AC101" s="17"/>
      <c r="AD101" s="17"/>
      <c r="AE101" s="17"/>
      <c r="AF101" s="17"/>
    </row>
    <row r="102" spans="1:32" ht="13.5" customHeight="1">
      <c r="A102" s="50"/>
      <c r="B102" s="2312" t="s">
        <v>275</v>
      </c>
      <c r="C102" s="2313"/>
      <c r="D102" s="1955"/>
      <c r="E102" s="1955"/>
      <c r="F102" s="1955"/>
      <c r="G102" s="2050" t="s">
        <v>91</v>
      </c>
      <c r="H102" s="2014"/>
      <c r="I102" s="2014"/>
      <c r="J102" s="2050" t="s">
        <v>60</v>
      </c>
      <c r="K102" s="2014"/>
      <c r="L102" s="2014"/>
      <c r="M102" s="1954" t="s">
        <v>91</v>
      </c>
      <c r="N102" s="1955"/>
      <c r="O102" s="1956"/>
      <c r="P102" s="1955"/>
      <c r="Q102" s="1955"/>
      <c r="R102" s="1956"/>
      <c r="S102" s="1983" t="s">
        <v>343</v>
      </c>
      <c r="T102" s="1983"/>
      <c r="U102" s="1983"/>
      <c r="V102" s="1874"/>
      <c r="W102" s="1875"/>
      <c r="X102" s="1876"/>
      <c r="Y102" s="50"/>
      <c r="Z102" s="50"/>
      <c r="AA102" s="47"/>
      <c r="AB102" s="17"/>
      <c r="AC102" s="17"/>
      <c r="AD102" s="17"/>
      <c r="AE102" s="17"/>
      <c r="AF102" s="17"/>
    </row>
    <row r="103" spans="1:32" ht="13.5" customHeight="1">
      <c r="A103" s="50"/>
      <c r="B103" s="2314"/>
      <c r="C103" s="2323"/>
      <c r="D103" s="2052"/>
      <c r="E103" s="2052"/>
      <c r="F103" s="2052"/>
      <c r="G103" s="2051"/>
      <c r="H103" s="2052"/>
      <c r="I103" s="2052"/>
      <c r="J103" s="2051"/>
      <c r="K103" s="2052"/>
      <c r="L103" s="2052"/>
      <c r="M103" s="2151" t="s">
        <v>344</v>
      </c>
      <c r="N103" s="2152"/>
      <c r="O103" s="2164"/>
      <c r="P103" s="2052"/>
      <c r="Q103" s="2052"/>
      <c r="R103" s="2053"/>
      <c r="S103" s="2332"/>
      <c r="T103" s="2332"/>
      <c r="U103" s="2332"/>
      <c r="V103" s="1877"/>
      <c r="W103" s="1878"/>
      <c r="X103" s="1879"/>
      <c r="Y103" s="17"/>
      <c r="Z103" s="17"/>
      <c r="AA103" s="17"/>
      <c r="AB103" s="17"/>
      <c r="AC103" s="17"/>
      <c r="AD103" s="17"/>
      <c r="AE103" s="17"/>
      <c r="AF103" s="17"/>
    </row>
    <row r="104" spans="1:32" ht="13.5" customHeight="1">
      <c r="A104" s="50"/>
      <c r="B104" s="822" t="s">
        <v>1</v>
      </c>
      <c r="C104" s="822" t="s">
        <v>2</v>
      </c>
      <c r="D104" s="2298" t="s">
        <v>345</v>
      </c>
      <c r="E104" s="2299"/>
      <c r="F104" s="2300"/>
      <c r="G104" s="1972" t="s">
        <v>346</v>
      </c>
      <c r="H104" s="1973"/>
      <c r="I104" s="2301"/>
      <c r="J104" s="1972" t="s">
        <v>347</v>
      </c>
      <c r="K104" s="1973"/>
      <c r="L104" s="2301"/>
      <c r="M104" s="1828" t="s">
        <v>348</v>
      </c>
      <c r="N104" s="1829"/>
      <c r="O104" s="1829"/>
      <c r="P104" s="2302" t="s">
        <v>349</v>
      </c>
      <c r="Q104" s="2296"/>
      <c r="R104" s="2303"/>
      <c r="S104" s="2334" t="s">
        <v>350</v>
      </c>
      <c r="T104" s="2089"/>
      <c r="U104" s="2090"/>
      <c r="V104" s="2289" t="s">
        <v>351</v>
      </c>
      <c r="W104" s="2290"/>
      <c r="X104" s="2291"/>
      <c r="Y104" s="19" t="s">
        <v>5</v>
      </c>
      <c r="Z104" s="18" t="s">
        <v>6</v>
      </c>
      <c r="AA104" s="20" t="s">
        <v>7</v>
      </c>
      <c r="AB104" s="17"/>
      <c r="AC104" s="17"/>
      <c r="AD104" s="17"/>
      <c r="AE104" s="17"/>
      <c r="AF104" s="17"/>
    </row>
    <row r="105" spans="1:32" ht="13.5" customHeight="1">
      <c r="A105" s="50"/>
      <c r="B105" s="924" t="s">
        <v>8</v>
      </c>
      <c r="C105" s="926" t="s">
        <v>277</v>
      </c>
      <c r="D105" s="1620">
        <v>10.5</v>
      </c>
      <c r="E105" s="461">
        <v>20.5</v>
      </c>
      <c r="F105" s="505">
        <v>1</v>
      </c>
      <c r="G105" s="907">
        <v>12.5</v>
      </c>
      <c r="H105" s="571">
        <v>20.5</v>
      </c>
      <c r="I105" s="587">
        <v>1</v>
      </c>
      <c r="J105" s="648">
        <v>7</v>
      </c>
      <c r="K105" s="649">
        <v>16</v>
      </c>
      <c r="L105" s="650">
        <v>1</v>
      </c>
      <c r="M105" s="648">
        <v>10.5</v>
      </c>
      <c r="N105" s="649">
        <v>20.5</v>
      </c>
      <c r="O105" s="650">
        <v>1</v>
      </c>
      <c r="P105" s="590"/>
      <c r="Q105" s="572"/>
      <c r="R105" s="624"/>
      <c r="S105" s="583">
        <v>11</v>
      </c>
      <c r="T105" s="571">
        <v>19</v>
      </c>
      <c r="U105" s="944">
        <v>1</v>
      </c>
      <c r="V105" s="908"/>
      <c r="W105" s="573"/>
      <c r="X105" s="600"/>
      <c r="Y105" s="19">
        <f>SUM(E105-D105-F105+H105-G105-I105+K105-J105-L105+N105-M105-O105+Q105-P105-R105+T105-S105-U105+W105-V105-X105)</f>
        <v>40</v>
      </c>
      <c r="Z105" s="19"/>
      <c r="AA105" s="1492"/>
      <c r="AB105" s="1932"/>
      <c r="AC105" s="1932"/>
      <c r="AD105" s="17" t="s">
        <v>69</v>
      </c>
      <c r="AE105" s="17"/>
      <c r="AF105" s="17"/>
    </row>
    <row r="106" spans="1:32" ht="13.5" customHeight="1">
      <c r="A106" s="50"/>
      <c r="B106" s="2316"/>
      <c r="C106" s="1234" t="s">
        <v>279</v>
      </c>
      <c r="D106" s="79">
        <v>11.5</v>
      </c>
      <c r="E106" s="80">
        <v>20.5</v>
      </c>
      <c r="F106" s="81">
        <v>1</v>
      </c>
      <c r="G106" s="635">
        <v>6</v>
      </c>
      <c r="H106" s="636">
        <v>16</v>
      </c>
      <c r="I106" s="637">
        <v>1</v>
      </c>
      <c r="J106" s="1698">
        <v>15</v>
      </c>
      <c r="K106" s="1699">
        <v>23</v>
      </c>
      <c r="L106" s="1700">
        <v>1</v>
      </c>
      <c r="M106" s="424"/>
      <c r="N106" s="198"/>
      <c r="O106" s="431"/>
      <c r="P106" s="424"/>
      <c r="Q106" s="198"/>
      <c r="R106" s="426"/>
      <c r="S106" s="191">
        <v>11</v>
      </c>
      <c r="T106" s="187">
        <v>21</v>
      </c>
      <c r="U106" s="188">
        <v>1</v>
      </c>
      <c r="V106" s="244">
        <v>10.5</v>
      </c>
      <c r="W106" s="237">
        <v>20.5</v>
      </c>
      <c r="X106" s="546">
        <v>1</v>
      </c>
      <c r="Y106" s="19">
        <f t="shared" ref="Y106:Y112" si="18">SUM(E106-D106-F106+H106-G106-I106+K106-J106-L106+N106-M106-O106+Q106-P106-R106+T106-S106-U106+W106-V106-X106)</f>
        <v>42</v>
      </c>
      <c r="Z106" s="297"/>
      <c r="AA106" s="55"/>
      <c r="AB106" s="17"/>
      <c r="AC106" s="17"/>
      <c r="AD106" s="17"/>
      <c r="AE106" s="17"/>
      <c r="AF106" s="17"/>
    </row>
    <row r="107" spans="1:32" ht="13.5" customHeight="1">
      <c r="A107" s="50"/>
      <c r="B107" s="2316"/>
      <c r="C107" s="1234" t="s">
        <v>280</v>
      </c>
      <c r="D107" s="79">
        <v>10.5</v>
      </c>
      <c r="E107" s="80">
        <v>20.5</v>
      </c>
      <c r="F107" s="81">
        <v>1</v>
      </c>
      <c r="G107" s="795">
        <v>7</v>
      </c>
      <c r="H107" s="796">
        <v>12</v>
      </c>
      <c r="I107" s="1678"/>
      <c r="J107" s="424"/>
      <c r="K107" s="198"/>
      <c r="L107" s="426"/>
      <c r="M107" s="635">
        <v>7</v>
      </c>
      <c r="N107" s="636">
        <v>16</v>
      </c>
      <c r="O107" s="651">
        <v>1</v>
      </c>
      <c r="P107" s="186">
        <v>11.5</v>
      </c>
      <c r="Q107" s="187">
        <v>20.5</v>
      </c>
      <c r="R107" s="192">
        <v>1</v>
      </c>
      <c r="S107" s="191">
        <v>12</v>
      </c>
      <c r="T107" s="187">
        <v>21</v>
      </c>
      <c r="U107" s="188">
        <v>1</v>
      </c>
      <c r="V107" s="173"/>
      <c r="W107" s="174"/>
      <c r="X107" s="175"/>
      <c r="Y107" s="19">
        <f>SUM(E107-D107-F107+H107-G107-I107+K107-J107-L107+N107-M107-O107+Q107-P107-R107+T107-S107-U107+W107-V107-X107)</f>
        <v>38</v>
      </c>
      <c r="Z107" s="1706"/>
      <c r="AA107" s="55"/>
      <c r="AB107" s="17"/>
      <c r="AC107" s="17"/>
      <c r="AD107" s="17"/>
      <c r="AE107" s="17"/>
      <c r="AF107" s="17"/>
    </row>
    <row r="108" spans="1:32" ht="13.5" customHeight="1">
      <c r="A108" s="50"/>
      <c r="B108" s="2316"/>
      <c r="C108" s="1234" t="s">
        <v>281</v>
      </c>
      <c r="D108" s="91">
        <v>11.5</v>
      </c>
      <c r="E108" s="92">
        <v>20.5</v>
      </c>
      <c r="F108" s="547">
        <v>1</v>
      </c>
      <c r="G108" s="936"/>
      <c r="H108" s="937"/>
      <c r="I108" s="1120"/>
      <c r="J108" s="606">
        <v>11.5</v>
      </c>
      <c r="K108" s="607">
        <v>20.5</v>
      </c>
      <c r="L108" s="608">
        <v>1</v>
      </c>
      <c r="M108" s="606">
        <v>11.5</v>
      </c>
      <c r="N108" s="607">
        <v>20.5</v>
      </c>
      <c r="O108" s="905">
        <v>1</v>
      </c>
      <c r="P108" s="606">
        <v>10.5</v>
      </c>
      <c r="Q108" s="607">
        <v>20.5</v>
      </c>
      <c r="R108" s="608">
        <v>1</v>
      </c>
      <c r="S108" s="1015">
        <v>7</v>
      </c>
      <c r="T108" s="848">
        <v>17</v>
      </c>
      <c r="U108" s="1016">
        <v>1</v>
      </c>
      <c r="V108" s="435"/>
      <c r="W108" s="436"/>
      <c r="X108" s="1134"/>
      <c r="Y108" s="19">
        <f t="shared" si="18"/>
        <v>42</v>
      </c>
      <c r="Z108" s="298"/>
      <c r="AA108" s="269"/>
      <c r="AB108" s="17"/>
      <c r="AC108" s="17"/>
      <c r="AD108" s="17"/>
      <c r="AE108" s="17"/>
      <c r="AF108" s="17"/>
    </row>
    <row r="109" spans="1:32" ht="13.5" customHeight="1">
      <c r="A109" s="50"/>
      <c r="B109" s="2317" t="s">
        <v>52</v>
      </c>
      <c r="C109" s="922" t="s">
        <v>282</v>
      </c>
      <c r="D109" s="1191"/>
      <c r="E109" s="683"/>
      <c r="F109" s="911"/>
      <c r="G109" s="1205">
        <v>6</v>
      </c>
      <c r="H109" s="1206">
        <v>16</v>
      </c>
      <c r="I109" s="1207">
        <v>1</v>
      </c>
      <c r="J109" s="586"/>
      <c r="K109" s="570"/>
      <c r="L109" s="592"/>
      <c r="M109" s="292">
        <v>11.5</v>
      </c>
      <c r="N109" s="293">
        <v>20.5</v>
      </c>
      <c r="O109" s="294">
        <v>1</v>
      </c>
      <c r="P109" s="632">
        <v>7</v>
      </c>
      <c r="Q109" s="633">
        <v>17</v>
      </c>
      <c r="R109" s="634">
        <v>1</v>
      </c>
      <c r="S109" s="542">
        <v>11</v>
      </c>
      <c r="T109" s="293">
        <v>19</v>
      </c>
      <c r="U109" s="530">
        <v>1</v>
      </c>
      <c r="V109" s="70">
        <v>10.5</v>
      </c>
      <c r="W109" s="71">
        <v>20.5</v>
      </c>
      <c r="X109" s="151">
        <v>1</v>
      </c>
      <c r="Y109" s="19">
        <f t="shared" si="18"/>
        <v>42</v>
      </c>
      <c r="Z109" s="524"/>
      <c r="AA109" s="54"/>
      <c r="AB109" s="17"/>
      <c r="AC109" s="17"/>
      <c r="AD109" s="17"/>
      <c r="AE109" s="17"/>
      <c r="AF109" s="17"/>
    </row>
    <row r="110" spans="1:32" ht="13.5" customHeight="1">
      <c r="A110" s="50"/>
      <c r="B110" s="2192"/>
      <c r="C110" s="923" t="s">
        <v>283</v>
      </c>
      <c r="D110" s="421">
        <v>11.5</v>
      </c>
      <c r="E110" s="71">
        <v>20.5</v>
      </c>
      <c r="F110" s="72">
        <v>1</v>
      </c>
      <c r="G110" s="1532"/>
      <c r="H110" s="325"/>
      <c r="I110" s="870"/>
      <c r="J110" s="1701">
        <v>14</v>
      </c>
      <c r="K110" s="1702">
        <v>23</v>
      </c>
      <c r="L110" s="1703">
        <v>1</v>
      </c>
      <c r="M110" s="1679">
        <v>7</v>
      </c>
      <c r="N110" s="1680">
        <v>12</v>
      </c>
      <c r="O110" s="1681"/>
      <c r="P110" s="1085"/>
      <c r="Q110" s="325"/>
      <c r="R110" s="372"/>
      <c r="S110" s="1204">
        <v>12</v>
      </c>
      <c r="T110" s="1092">
        <v>21</v>
      </c>
      <c r="U110" s="1093">
        <v>1</v>
      </c>
      <c r="V110" s="70">
        <v>10.5</v>
      </c>
      <c r="W110" s="71">
        <v>20.5</v>
      </c>
      <c r="X110" s="151">
        <v>1</v>
      </c>
      <c r="Y110" s="19">
        <f t="shared" si="18"/>
        <v>38</v>
      </c>
      <c r="Z110" s="1707"/>
      <c r="AA110" s="54"/>
      <c r="AB110" s="17"/>
      <c r="AC110" s="17"/>
      <c r="AD110" s="17"/>
      <c r="AE110" s="17"/>
      <c r="AF110" s="17"/>
    </row>
    <row r="111" spans="1:32" ht="13.5" customHeight="1">
      <c r="A111" s="50"/>
      <c r="B111" s="2192"/>
      <c r="C111" s="923" t="s">
        <v>287</v>
      </c>
      <c r="D111" s="1034">
        <v>7</v>
      </c>
      <c r="E111" s="854">
        <v>16</v>
      </c>
      <c r="F111" s="1013">
        <v>1</v>
      </c>
      <c r="G111" s="425"/>
      <c r="H111" s="198"/>
      <c r="I111" s="431"/>
      <c r="J111" s="186">
        <v>11.5</v>
      </c>
      <c r="K111" s="187">
        <v>20.5</v>
      </c>
      <c r="L111" s="188">
        <v>1</v>
      </c>
      <c r="M111" s="186">
        <v>11.5</v>
      </c>
      <c r="N111" s="187">
        <v>20.5</v>
      </c>
      <c r="O111" s="188">
        <v>1</v>
      </c>
      <c r="P111" s="424"/>
      <c r="Q111" s="198"/>
      <c r="R111" s="426"/>
      <c r="S111" s="191">
        <v>11</v>
      </c>
      <c r="T111" s="187">
        <v>21</v>
      </c>
      <c r="U111" s="192">
        <v>1</v>
      </c>
      <c r="V111" s="853">
        <v>8</v>
      </c>
      <c r="W111" s="854">
        <v>18</v>
      </c>
      <c r="X111" s="855">
        <v>1</v>
      </c>
      <c r="Y111" s="19">
        <f t="shared" si="18"/>
        <v>42</v>
      </c>
      <c r="Z111" s="297"/>
      <c r="AA111" s="55"/>
      <c r="AB111" s="17"/>
      <c r="AC111" s="17"/>
      <c r="AD111" s="17"/>
      <c r="AE111" s="17"/>
      <c r="AF111" s="17"/>
    </row>
    <row r="112" spans="1:32" ht="13.5" customHeight="1">
      <c r="A112" s="50"/>
      <c r="B112" s="2049"/>
      <c r="C112" s="927" t="s">
        <v>288</v>
      </c>
      <c r="D112" s="422">
        <v>12.5</v>
      </c>
      <c r="E112" s="92">
        <v>20.5</v>
      </c>
      <c r="F112" s="547">
        <v>1</v>
      </c>
      <c r="G112" s="309">
        <v>12.5</v>
      </c>
      <c r="H112" s="196">
        <v>20.5</v>
      </c>
      <c r="I112" s="408">
        <v>1</v>
      </c>
      <c r="J112" s="845">
        <v>6</v>
      </c>
      <c r="K112" s="843">
        <v>11</v>
      </c>
      <c r="L112" s="973"/>
      <c r="M112" s="193"/>
      <c r="N112" s="194"/>
      <c r="O112" s="195"/>
      <c r="P112" s="407">
        <v>11.5</v>
      </c>
      <c r="Q112" s="196">
        <v>20.5</v>
      </c>
      <c r="R112" s="310">
        <v>1</v>
      </c>
      <c r="S112" s="1217">
        <v>8</v>
      </c>
      <c r="T112" s="940">
        <v>17</v>
      </c>
      <c r="U112" s="941">
        <v>1</v>
      </c>
      <c r="V112" s="211"/>
      <c r="W112" s="212"/>
      <c r="X112" s="213"/>
      <c r="Y112" s="19">
        <f t="shared" si="18"/>
        <v>35</v>
      </c>
      <c r="Z112" s="298"/>
      <c r="AA112" s="269"/>
      <c r="AB112" s="17"/>
      <c r="AC112" s="17"/>
      <c r="AD112" s="17"/>
      <c r="AE112" s="17"/>
      <c r="AF112" s="17"/>
    </row>
    <row r="113" spans="1:32" ht="13.5" customHeight="1">
      <c r="A113" s="50"/>
      <c r="B113" s="1830" t="s">
        <v>171</v>
      </c>
      <c r="C113" s="694" t="s">
        <v>284</v>
      </c>
      <c r="D113" s="244">
        <v>11.5</v>
      </c>
      <c r="E113" s="237">
        <v>20.5</v>
      </c>
      <c r="F113" s="245">
        <v>1</v>
      </c>
      <c r="G113" s="586"/>
      <c r="H113" s="570"/>
      <c r="I113" s="592"/>
      <c r="J113" s="292">
        <v>11.5</v>
      </c>
      <c r="K113" s="293">
        <v>20.5</v>
      </c>
      <c r="L113" s="294">
        <v>1</v>
      </c>
      <c r="M113" s="292">
        <v>11.5</v>
      </c>
      <c r="N113" s="293">
        <v>20.5</v>
      </c>
      <c r="O113" s="294">
        <v>1</v>
      </c>
      <c r="P113" s="292">
        <v>10.5</v>
      </c>
      <c r="Q113" s="293">
        <v>20.5</v>
      </c>
      <c r="R113" s="530">
        <v>1</v>
      </c>
      <c r="S113" s="1010">
        <v>7</v>
      </c>
      <c r="T113" s="633">
        <v>17</v>
      </c>
      <c r="U113" s="862">
        <v>1</v>
      </c>
      <c r="V113" s="682"/>
      <c r="W113" s="683"/>
      <c r="X113" s="911"/>
      <c r="Y113" s="19">
        <f t="shared" ref="Y113:Y114" si="19">SUM(E113-D113-F113+H113-G113-I113+K113-J113-L113+N113-M113-O113+Q113-P113-R113+T113-S113-U113+W113-V113-X113)</f>
        <v>42</v>
      </c>
      <c r="Z113" s="1546"/>
      <c r="AA113" s="1547"/>
      <c r="AB113" s="17"/>
      <c r="AC113" s="17"/>
      <c r="AD113" s="17"/>
      <c r="AE113" s="17"/>
      <c r="AF113" s="17"/>
    </row>
    <row r="114" spans="1:32" ht="13.5" customHeight="1">
      <c r="A114" s="50"/>
      <c r="B114" s="1831"/>
      <c r="C114" s="1643" t="s">
        <v>289</v>
      </c>
      <c r="D114" s="79">
        <v>11.5</v>
      </c>
      <c r="E114" s="80">
        <v>20.5</v>
      </c>
      <c r="F114" s="247">
        <v>1</v>
      </c>
      <c r="G114" s="635">
        <v>7</v>
      </c>
      <c r="H114" s="636">
        <v>16</v>
      </c>
      <c r="I114" s="651">
        <v>1</v>
      </c>
      <c r="J114" s="1698">
        <v>14</v>
      </c>
      <c r="K114" s="1699">
        <v>23</v>
      </c>
      <c r="L114" s="1704">
        <v>1</v>
      </c>
      <c r="M114" s="186">
        <v>10.5</v>
      </c>
      <c r="N114" s="187">
        <v>20.5</v>
      </c>
      <c r="O114" s="188">
        <v>1</v>
      </c>
      <c r="P114" s="424"/>
      <c r="Q114" s="198"/>
      <c r="R114" s="426"/>
      <c r="S114" s="191">
        <v>11</v>
      </c>
      <c r="T114" s="187">
        <v>21</v>
      </c>
      <c r="U114" s="188">
        <v>1</v>
      </c>
      <c r="V114" s="173"/>
      <c r="W114" s="174"/>
      <c r="X114" s="175"/>
      <c r="Y114" s="21">
        <f t="shared" si="19"/>
        <v>42</v>
      </c>
      <c r="Z114" s="1546"/>
      <c r="AA114" s="1547"/>
      <c r="AB114" s="17"/>
      <c r="AC114" s="17"/>
      <c r="AD114" s="17"/>
      <c r="AE114" s="17"/>
      <c r="AF114" s="17"/>
    </row>
    <row r="115" spans="1:32" ht="13.5" customHeight="1">
      <c r="A115" s="50"/>
      <c r="B115" s="1831"/>
      <c r="C115" s="1644" t="s">
        <v>290</v>
      </c>
      <c r="D115" s="168"/>
      <c r="E115" s="169"/>
      <c r="F115" s="315"/>
      <c r="G115" s="1091">
        <v>12.5</v>
      </c>
      <c r="H115" s="1092">
        <v>20.5</v>
      </c>
      <c r="I115" s="1094">
        <v>1</v>
      </c>
      <c r="J115" s="1208">
        <v>6</v>
      </c>
      <c r="K115" s="1206">
        <v>16</v>
      </c>
      <c r="L115" s="1207">
        <v>1</v>
      </c>
      <c r="M115" s="1208">
        <v>7</v>
      </c>
      <c r="N115" s="1206">
        <v>16</v>
      </c>
      <c r="O115" s="1207">
        <v>1</v>
      </c>
      <c r="P115" s="1085"/>
      <c r="Q115" s="325"/>
      <c r="R115" s="372"/>
      <c r="S115" s="1204">
        <v>11</v>
      </c>
      <c r="T115" s="1092">
        <v>21</v>
      </c>
      <c r="U115" s="1094">
        <v>1</v>
      </c>
      <c r="V115" s="70">
        <v>10.5</v>
      </c>
      <c r="W115" s="71">
        <v>20.5</v>
      </c>
      <c r="X115" s="72">
        <v>1</v>
      </c>
      <c r="Y115" s="21">
        <f t="shared" ref="Y115:Y138" si="20">SUM(E115-D115-F115+H115-G115-I115+K115-J115-L115+N115-M115-O115+Q115-P115-R115+T115-S115-U115+W115-V115-X115)</f>
        <v>42</v>
      </c>
      <c r="Z115" s="525"/>
      <c r="AA115" s="56"/>
      <c r="AB115" s="17"/>
      <c r="AC115" s="17"/>
      <c r="AD115" s="17"/>
      <c r="AE115" s="17"/>
      <c r="AF115" s="17"/>
    </row>
    <row r="116" spans="1:32" ht="13.5" customHeight="1">
      <c r="A116" s="50"/>
      <c r="B116" s="1831"/>
      <c r="C116" s="1644" t="s">
        <v>291</v>
      </c>
      <c r="D116" s="79">
        <v>11.5</v>
      </c>
      <c r="E116" s="80">
        <v>20.5</v>
      </c>
      <c r="F116" s="247">
        <v>1</v>
      </c>
      <c r="G116" s="186">
        <v>11.5</v>
      </c>
      <c r="H116" s="187">
        <v>20.5</v>
      </c>
      <c r="I116" s="188">
        <v>1</v>
      </c>
      <c r="J116" s="424"/>
      <c r="K116" s="198"/>
      <c r="L116" s="431"/>
      <c r="M116" s="186">
        <v>10.5</v>
      </c>
      <c r="N116" s="187">
        <v>20.5</v>
      </c>
      <c r="O116" s="188">
        <v>1</v>
      </c>
      <c r="P116" s="186">
        <v>11.5</v>
      </c>
      <c r="Q116" s="187">
        <v>20.5</v>
      </c>
      <c r="R116" s="192">
        <v>1</v>
      </c>
      <c r="S116" s="997">
        <v>7</v>
      </c>
      <c r="T116" s="636">
        <v>17</v>
      </c>
      <c r="U116" s="651">
        <v>1</v>
      </c>
      <c r="V116" s="173"/>
      <c r="W116" s="174"/>
      <c r="X116" s="175"/>
      <c r="Y116" s="21">
        <f t="shared" si="20"/>
        <v>42</v>
      </c>
      <c r="Z116" s="365"/>
      <c r="AA116" s="368"/>
      <c r="AB116" s="17"/>
      <c r="AC116" s="17"/>
      <c r="AD116" s="17"/>
      <c r="AE116" s="17"/>
      <c r="AF116" s="17"/>
    </row>
    <row r="117" spans="1:32" ht="13.5" customHeight="1">
      <c r="A117" s="50"/>
      <c r="B117" s="1831"/>
      <c r="C117" s="1644" t="s">
        <v>292</v>
      </c>
      <c r="D117" s="173"/>
      <c r="E117" s="174"/>
      <c r="F117" s="360"/>
      <c r="G117" s="186">
        <v>11.5</v>
      </c>
      <c r="H117" s="187">
        <v>20.5</v>
      </c>
      <c r="I117" s="188">
        <v>1</v>
      </c>
      <c r="J117" s="795">
        <v>7</v>
      </c>
      <c r="K117" s="796">
        <v>12</v>
      </c>
      <c r="L117" s="797"/>
      <c r="M117" s="424"/>
      <c r="N117" s="198"/>
      <c r="O117" s="431"/>
      <c r="P117" s="186">
        <v>12.5</v>
      </c>
      <c r="Q117" s="187">
        <v>20.5</v>
      </c>
      <c r="R117" s="192">
        <v>1</v>
      </c>
      <c r="S117" s="191">
        <v>11</v>
      </c>
      <c r="T117" s="187">
        <v>21</v>
      </c>
      <c r="U117" s="188">
        <v>1</v>
      </c>
      <c r="V117" s="79">
        <v>10.5</v>
      </c>
      <c r="W117" s="80">
        <v>20.5</v>
      </c>
      <c r="X117" s="81">
        <v>1</v>
      </c>
      <c r="Y117" s="21">
        <f t="shared" si="20"/>
        <v>38</v>
      </c>
      <c r="Z117" s="1708"/>
      <c r="AA117" s="6"/>
      <c r="AB117" s="17"/>
      <c r="AC117" s="17"/>
      <c r="AD117" s="17"/>
      <c r="AE117" s="17"/>
      <c r="AF117" s="17"/>
    </row>
    <row r="118" spans="1:32" ht="13.5" customHeight="1">
      <c r="A118" s="50"/>
      <c r="B118" s="1831"/>
      <c r="C118" s="1644" t="s">
        <v>293</v>
      </c>
      <c r="D118" s="853">
        <v>7</v>
      </c>
      <c r="E118" s="854">
        <v>16</v>
      </c>
      <c r="F118" s="855">
        <v>1</v>
      </c>
      <c r="G118" s="186">
        <v>11.5</v>
      </c>
      <c r="H118" s="187">
        <v>20.5</v>
      </c>
      <c r="I118" s="188">
        <v>1</v>
      </c>
      <c r="J118" s="424"/>
      <c r="K118" s="198"/>
      <c r="L118" s="431"/>
      <c r="M118" s="186">
        <v>11.5</v>
      </c>
      <c r="N118" s="187">
        <v>20.5</v>
      </c>
      <c r="O118" s="188">
        <v>1</v>
      </c>
      <c r="P118" s="186">
        <v>10.5</v>
      </c>
      <c r="Q118" s="187">
        <v>20.5</v>
      </c>
      <c r="R118" s="192">
        <v>1</v>
      </c>
      <c r="S118" s="191">
        <v>11</v>
      </c>
      <c r="T118" s="187">
        <v>21</v>
      </c>
      <c r="U118" s="188">
        <v>1</v>
      </c>
      <c r="V118" s="173"/>
      <c r="W118" s="174"/>
      <c r="X118" s="175"/>
      <c r="Y118" s="21">
        <f t="shared" si="20"/>
        <v>42</v>
      </c>
      <c r="Z118" s="362"/>
      <c r="AA118" s="6"/>
      <c r="AB118" s="17"/>
      <c r="AC118" s="17"/>
      <c r="AD118" s="17"/>
      <c r="AE118" s="17"/>
      <c r="AF118" s="17"/>
    </row>
    <row r="119" spans="1:32" ht="13.5" customHeight="1">
      <c r="A119" s="50"/>
      <c r="B119" s="1831"/>
      <c r="C119" s="1644" t="s">
        <v>295</v>
      </c>
      <c r="D119" s="173"/>
      <c r="E119" s="174"/>
      <c r="F119" s="360"/>
      <c r="G119" s="186">
        <v>11.5</v>
      </c>
      <c r="H119" s="187">
        <v>20.5</v>
      </c>
      <c r="I119" s="188">
        <v>1</v>
      </c>
      <c r="J119" s="424"/>
      <c r="K119" s="198"/>
      <c r="L119" s="431"/>
      <c r="M119" s="795">
        <v>7</v>
      </c>
      <c r="N119" s="796">
        <v>12</v>
      </c>
      <c r="O119" s="797"/>
      <c r="P119" s="186">
        <v>12.5</v>
      </c>
      <c r="Q119" s="187">
        <v>20.5</v>
      </c>
      <c r="R119" s="192">
        <v>1</v>
      </c>
      <c r="S119" s="191">
        <v>11</v>
      </c>
      <c r="T119" s="187">
        <v>21</v>
      </c>
      <c r="U119" s="188">
        <v>1</v>
      </c>
      <c r="V119" s="79">
        <v>10.5</v>
      </c>
      <c r="W119" s="80">
        <v>20.5</v>
      </c>
      <c r="X119" s="81">
        <v>1</v>
      </c>
      <c r="Y119" s="21">
        <f t="shared" si="20"/>
        <v>38</v>
      </c>
      <c r="Z119" s="1708"/>
      <c r="AA119" s="6"/>
      <c r="AB119" s="17"/>
      <c r="AC119" s="17"/>
      <c r="AD119" s="17"/>
      <c r="AE119" s="17"/>
      <c r="AF119" s="17"/>
    </row>
    <row r="120" spans="1:32" ht="13.5" customHeight="1">
      <c r="A120" s="50"/>
      <c r="B120" s="1831"/>
      <c r="C120" s="1644" t="s">
        <v>296</v>
      </c>
      <c r="D120" s="79">
        <v>11.5</v>
      </c>
      <c r="E120" s="80">
        <v>20.5</v>
      </c>
      <c r="F120" s="247">
        <v>1</v>
      </c>
      <c r="G120" s="424"/>
      <c r="H120" s="198"/>
      <c r="I120" s="431"/>
      <c r="J120" s="1698">
        <v>14</v>
      </c>
      <c r="K120" s="1699">
        <v>23</v>
      </c>
      <c r="L120" s="1704">
        <v>1</v>
      </c>
      <c r="M120" s="186">
        <v>10.5</v>
      </c>
      <c r="N120" s="187">
        <v>20.5</v>
      </c>
      <c r="O120" s="188">
        <v>1</v>
      </c>
      <c r="P120" s="635">
        <v>7</v>
      </c>
      <c r="Q120" s="636">
        <v>16</v>
      </c>
      <c r="R120" s="637">
        <v>1</v>
      </c>
      <c r="S120" s="191">
        <v>11</v>
      </c>
      <c r="T120" s="187">
        <v>21</v>
      </c>
      <c r="U120" s="188">
        <v>1</v>
      </c>
      <c r="V120" s="173"/>
      <c r="W120" s="174"/>
      <c r="X120" s="175"/>
      <c r="Y120" s="21">
        <f t="shared" si="20"/>
        <v>42</v>
      </c>
      <c r="Z120" s="362"/>
      <c r="AA120" s="6"/>
      <c r="AB120" s="17"/>
      <c r="AC120" s="17"/>
      <c r="AD120" s="17"/>
      <c r="AE120" s="17"/>
      <c r="AF120" s="17"/>
    </row>
    <row r="121" spans="1:32" ht="13.5" customHeight="1">
      <c r="A121" s="50"/>
      <c r="B121" s="1831"/>
      <c r="C121" s="1644" t="s">
        <v>297</v>
      </c>
      <c r="D121" s="79">
        <v>10.5</v>
      </c>
      <c r="E121" s="80">
        <v>20.5</v>
      </c>
      <c r="F121" s="247">
        <v>1</v>
      </c>
      <c r="G121" s="424"/>
      <c r="H121" s="198"/>
      <c r="I121" s="431"/>
      <c r="J121" s="635">
        <v>7</v>
      </c>
      <c r="K121" s="636">
        <v>16</v>
      </c>
      <c r="L121" s="651">
        <v>1</v>
      </c>
      <c r="M121" s="186">
        <v>11.5</v>
      </c>
      <c r="N121" s="187">
        <v>20.5</v>
      </c>
      <c r="O121" s="188">
        <v>1</v>
      </c>
      <c r="P121" s="186">
        <v>11.5</v>
      </c>
      <c r="Q121" s="187">
        <v>20.5</v>
      </c>
      <c r="R121" s="192">
        <v>1</v>
      </c>
      <c r="S121" s="191">
        <v>11</v>
      </c>
      <c r="T121" s="187">
        <v>21</v>
      </c>
      <c r="U121" s="188">
        <v>1</v>
      </c>
      <c r="V121" s="173"/>
      <c r="W121" s="174"/>
      <c r="X121" s="175"/>
      <c r="Y121" s="21">
        <f t="shared" si="20"/>
        <v>42</v>
      </c>
      <c r="Z121" s="364"/>
      <c r="AA121" s="14"/>
      <c r="AB121" s="17"/>
      <c r="AC121" s="17"/>
      <c r="AD121" s="17"/>
      <c r="AE121" s="17"/>
      <c r="AF121" s="17"/>
    </row>
    <row r="122" spans="1:32" ht="13.5" customHeight="1">
      <c r="A122" s="50"/>
      <c r="B122" s="1831"/>
      <c r="C122" s="1644" t="s">
        <v>298</v>
      </c>
      <c r="D122" s="79">
        <v>11.5</v>
      </c>
      <c r="E122" s="80">
        <v>20.5</v>
      </c>
      <c r="F122" s="247">
        <v>1</v>
      </c>
      <c r="G122" s="795">
        <v>7</v>
      </c>
      <c r="H122" s="796">
        <v>12</v>
      </c>
      <c r="I122" s="797"/>
      <c r="J122" s="186">
        <v>11.5</v>
      </c>
      <c r="K122" s="187">
        <v>20.5</v>
      </c>
      <c r="L122" s="188">
        <v>1</v>
      </c>
      <c r="M122" s="424"/>
      <c r="N122" s="198"/>
      <c r="O122" s="431"/>
      <c r="P122" s="186">
        <v>10.5</v>
      </c>
      <c r="Q122" s="187">
        <v>20.5</v>
      </c>
      <c r="R122" s="192">
        <v>1</v>
      </c>
      <c r="S122" s="191">
        <v>12</v>
      </c>
      <c r="T122" s="187">
        <v>21</v>
      </c>
      <c r="U122" s="188">
        <v>1</v>
      </c>
      <c r="V122" s="173"/>
      <c r="W122" s="174"/>
      <c r="X122" s="175"/>
      <c r="Y122" s="21">
        <f t="shared" si="20"/>
        <v>38</v>
      </c>
      <c r="Z122" s="1708"/>
      <c r="AA122" s="6"/>
      <c r="AB122" s="17"/>
      <c r="AC122" s="17"/>
      <c r="AD122" s="17"/>
      <c r="AE122" s="17"/>
      <c r="AF122" s="17"/>
    </row>
    <row r="123" spans="1:32">
      <c r="B123" s="1831"/>
      <c r="C123" s="1644" t="s">
        <v>299</v>
      </c>
      <c r="D123" s="173"/>
      <c r="E123" s="174"/>
      <c r="F123" s="360"/>
      <c r="G123" s="186">
        <v>11.5</v>
      </c>
      <c r="H123" s="187">
        <v>20.5</v>
      </c>
      <c r="I123" s="188">
        <v>1</v>
      </c>
      <c r="J123" s="424"/>
      <c r="K123" s="198"/>
      <c r="L123" s="431"/>
      <c r="M123" s="635">
        <v>7</v>
      </c>
      <c r="N123" s="636">
        <v>16</v>
      </c>
      <c r="O123" s="651">
        <v>1</v>
      </c>
      <c r="P123" s="186">
        <v>11.5</v>
      </c>
      <c r="Q123" s="187">
        <v>20.5</v>
      </c>
      <c r="R123" s="192">
        <v>1</v>
      </c>
      <c r="S123" s="191">
        <v>11</v>
      </c>
      <c r="T123" s="187">
        <v>21</v>
      </c>
      <c r="U123" s="188">
        <v>1</v>
      </c>
      <c r="V123" s="853">
        <v>8</v>
      </c>
      <c r="W123" s="854">
        <v>18</v>
      </c>
      <c r="X123" s="1013">
        <v>1</v>
      </c>
      <c r="Y123" s="21">
        <f t="shared" si="20"/>
        <v>42</v>
      </c>
      <c r="Z123" s="362"/>
      <c r="AA123" s="6"/>
      <c r="AB123" s="17"/>
      <c r="AC123" s="17"/>
      <c r="AD123" s="17"/>
      <c r="AE123" s="17"/>
      <c r="AF123" s="17"/>
    </row>
    <row r="124" spans="1:32">
      <c r="B124" s="1831"/>
      <c r="C124" s="1645" t="s">
        <v>300</v>
      </c>
      <c r="D124" s="856">
        <v>7</v>
      </c>
      <c r="E124" s="857">
        <v>16</v>
      </c>
      <c r="F124" s="858">
        <v>1</v>
      </c>
      <c r="G124" s="82">
        <v>11.5</v>
      </c>
      <c r="H124" s="83">
        <v>20.5</v>
      </c>
      <c r="I124" s="84">
        <v>1</v>
      </c>
      <c r="J124" s="82">
        <v>11.5</v>
      </c>
      <c r="K124" s="83">
        <v>20.5</v>
      </c>
      <c r="L124" s="84">
        <v>1</v>
      </c>
      <c r="M124" s="319">
        <v>7</v>
      </c>
      <c r="N124" s="320">
        <v>17</v>
      </c>
      <c r="O124" s="321">
        <v>1</v>
      </c>
      <c r="P124" s="82">
        <v>10.5</v>
      </c>
      <c r="Q124" s="83">
        <v>20.5</v>
      </c>
      <c r="R124" s="413">
        <v>1</v>
      </c>
      <c r="S124" s="562"/>
      <c r="T124" s="346"/>
      <c r="U124" s="357"/>
      <c r="V124" s="211"/>
      <c r="W124" s="212"/>
      <c r="X124" s="307"/>
      <c r="Y124" s="21">
        <f t="shared" si="20"/>
        <v>42</v>
      </c>
      <c r="Z124" s="822"/>
      <c r="AA124" s="366"/>
      <c r="AB124" s="17"/>
      <c r="AC124" s="17"/>
      <c r="AD124" s="17"/>
      <c r="AE124" s="17"/>
      <c r="AF124" s="17"/>
    </row>
    <row r="125" spans="1:32" ht="15" customHeight="1">
      <c r="A125" s="50"/>
      <c r="B125" s="1697" t="s">
        <v>302</v>
      </c>
      <c r="C125" s="1693" t="s">
        <v>303</v>
      </c>
      <c r="D125" s="409">
        <v>13.5</v>
      </c>
      <c r="E125" s="410">
        <v>20.5</v>
      </c>
      <c r="F125" s="420">
        <v>1</v>
      </c>
      <c r="G125" s="428"/>
      <c r="H125" s="219"/>
      <c r="I125" s="427"/>
      <c r="J125" s="1647">
        <v>13.5</v>
      </c>
      <c r="K125" s="962">
        <v>20.5</v>
      </c>
      <c r="L125" s="963">
        <v>1</v>
      </c>
      <c r="M125" s="1596">
        <v>12.5</v>
      </c>
      <c r="N125" s="1597">
        <v>20.5</v>
      </c>
      <c r="O125" s="1733">
        <v>1</v>
      </c>
      <c r="P125" s="1731">
        <v>7</v>
      </c>
      <c r="Q125" s="1692">
        <v>12</v>
      </c>
      <c r="R125" s="1732"/>
      <c r="S125" s="1735">
        <v>7</v>
      </c>
      <c r="T125" s="969">
        <v>16</v>
      </c>
      <c r="U125" s="1664">
        <v>1</v>
      </c>
      <c r="V125" s="409">
        <v>11.5</v>
      </c>
      <c r="W125" s="410">
        <v>20.5</v>
      </c>
      <c r="X125" s="420">
        <v>1</v>
      </c>
      <c r="Y125" s="1">
        <f t="shared" si="20"/>
        <v>40</v>
      </c>
      <c r="Z125" s="441"/>
      <c r="AA125" s="368"/>
      <c r="AB125" s="17"/>
      <c r="AC125" s="17"/>
      <c r="AD125" s="17"/>
      <c r="AE125" s="17"/>
      <c r="AF125" s="17"/>
    </row>
    <row r="126" spans="1:32">
      <c r="A126" s="50"/>
      <c r="B126" s="1789"/>
      <c r="C126" s="1562" t="s">
        <v>304</v>
      </c>
      <c r="D126" s="421">
        <v>12.5</v>
      </c>
      <c r="E126" s="71">
        <v>20.5</v>
      </c>
      <c r="F126" s="72">
        <v>1</v>
      </c>
      <c r="G126" s="356"/>
      <c r="H126" s="323"/>
      <c r="I126" s="768"/>
      <c r="J126" s="354">
        <v>16.5</v>
      </c>
      <c r="K126" s="63">
        <v>20.5</v>
      </c>
      <c r="L126" s="412"/>
      <c r="M126" s="1129">
        <v>7</v>
      </c>
      <c r="N126" s="1130">
        <v>12</v>
      </c>
      <c r="O126" s="1181"/>
      <c r="P126" s="354">
        <v>16.5</v>
      </c>
      <c r="Q126" s="63">
        <v>20.5</v>
      </c>
      <c r="R126" s="412"/>
      <c r="S126" s="411">
        <v>15</v>
      </c>
      <c r="T126" s="63">
        <v>21</v>
      </c>
      <c r="U126" s="412">
        <v>1</v>
      </c>
      <c r="V126" s="1705">
        <v>8</v>
      </c>
      <c r="W126" s="1612">
        <v>16</v>
      </c>
      <c r="X126" s="1630">
        <v>1</v>
      </c>
      <c r="Y126" s="23">
        <f t="shared" si="20"/>
        <v>32</v>
      </c>
      <c r="Z126" s="361"/>
      <c r="AA126" s="5"/>
      <c r="AB126" s="17"/>
      <c r="AC126" s="17"/>
      <c r="AD126" s="17"/>
      <c r="AE126" s="17"/>
      <c r="AF126" s="17"/>
    </row>
    <row r="127" spans="1:32" ht="15" customHeight="1">
      <c r="A127" s="50"/>
      <c r="B127" s="2007"/>
      <c r="C127" s="1566" t="s">
        <v>305</v>
      </c>
      <c r="D127" s="560">
        <v>13.5</v>
      </c>
      <c r="E127" s="80">
        <v>20.5</v>
      </c>
      <c r="F127" s="81">
        <v>1</v>
      </c>
      <c r="G127" s="73">
        <v>12.5</v>
      </c>
      <c r="H127" s="74">
        <v>20.5</v>
      </c>
      <c r="I127" s="480">
        <v>1</v>
      </c>
      <c r="J127" s="225"/>
      <c r="K127" s="226"/>
      <c r="L127" s="430"/>
      <c r="M127" s="73">
        <v>16.5</v>
      </c>
      <c r="N127" s="74">
        <v>20.5</v>
      </c>
      <c r="O127" s="75"/>
      <c r="P127" s="225"/>
      <c r="Q127" s="226"/>
      <c r="R127" s="430"/>
      <c r="S127" s="417">
        <v>13</v>
      </c>
      <c r="T127" s="74">
        <v>21</v>
      </c>
      <c r="U127" s="480">
        <v>1</v>
      </c>
      <c r="V127" s="79">
        <v>12.5</v>
      </c>
      <c r="W127" s="80">
        <v>20.5</v>
      </c>
      <c r="X127" s="247">
        <v>1</v>
      </c>
      <c r="Y127" s="18">
        <f t="shared" si="20"/>
        <v>31</v>
      </c>
      <c r="Z127" s="457"/>
      <c r="AA127" s="6"/>
      <c r="AB127" s="17"/>
      <c r="AC127" s="17"/>
      <c r="AD127" s="17"/>
      <c r="AE127" s="17"/>
      <c r="AF127" s="17"/>
    </row>
    <row r="128" spans="1:32" ht="15" customHeight="1">
      <c r="A128" s="50"/>
      <c r="B128" s="2007"/>
      <c r="C128" s="1566" t="s">
        <v>306</v>
      </c>
      <c r="D128" s="1691"/>
      <c r="E128" s="991"/>
      <c r="F128" s="1687"/>
      <c r="G128" s="1684"/>
      <c r="H128" s="1685"/>
      <c r="I128" s="1686"/>
      <c r="J128" s="1684"/>
      <c r="K128" s="1685"/>
      <c r="L128" s="1686"/>
      <c r="M128" s="1684"/>
      <c r="N128" s="1685"/>
      <c r="O128" s="1734"/>
      <c r="P128" s="1684"/>
      <c r="Q128" s="1685"/>
      <c r="R128" s="1686"/>
      <c r="S128" s="1736"/>
      <c r="T128" s="1685"/>
      <c r="U128" s="1686"/>
      <c r="V128" s="990"/>
      <c r="W128" s="991"/>
      <c r="X128" s="992"/>
      <c r="Y128" s="18">
        <f t="shared" si="20"/>
        <v>0</v>
      </c>
      <c r="Z128" s="457"/>
      <c r="AA128" s="6"/>
      <c r="AB128" s="17"/>
      <c r="AC128" s="17"/>
      <c r="AD128" s="17"/>
      <c r="AE128" s="17"/>
      <c r="AF128" s="17"/>
    </row>
    <row r="129" spans="1:32" ht="16.5" customHeight="1">
      <c r="A129" s="50"/>
      <c r="B129" s="2007"/>
      <c r="C129" s="1566" t="s">
        <v>307</v>
      </c>
      <c r="D129" s="560">
        <v>14.5</v>
      </c>
      <c r="E129" s="80">
        <v>20.5</v>
      </c>
      <c r="F129" s="81">
        <v>1</v>
      </c>
      <c r="G129" s="186">
        <v>16.5</v>
      </c>
      <c r="H129" s="187">
        <v>20.5</v>
      </c>
      <c r="I129" s="192"/>
      <c r="J129" s="424"/>
      <c r="K129" s="198"/>
      <c r="L129" s="426"/>
      <c r="M129" s="424"/>
      <c r="N129" s="198"/>
      <c r="O129" s="431"/>
      <c r="P129" s="635">
        <v>7</v>
      </c>
      <c r="Q129" s="636">
        <v>12</v>
      </c>
      <c r="R129" s="637"/>
      <c r="S129" s="191">
        <v>15</v>
      </c>
      <c r="T129" s="187">
        <v>21</v>
      </c>
      <c r="U129" s="192">
        <v>1</v>
      </c>
      <c r="V129" s="79">
        <v>13.5</v>
      </c>
      <c r="W129" s="80">
        <v>20.5</v>
      </c>
      <c r="X129" s="247">
        <v>1</v>
      </c>
      <c r="Y129" s="1">
        <f t="shared" si="20"/>
        <v>25</v>
      </c>
      <c r="Z129" s="500"/>
      <c r="AA129" s="369"/>
      <c r="AB129" s="24"/>
      <c r="AC129" s="17"/>
      <c r="AD129" s="17"/>
      <c r="AE129" s="17"/>
      <c r="AF129" s="17"/>
    </row>
    <row r="130" spans="1:32" ht="15" customHeight="1">
      <c r="A130" s="50"/>
      <c r="B130" s="2007"/>
      <c r="C130" s="1566" t="s">
        <v>308</v>
      </c>
      <c r="D130" s="1034">
        <v>7</v>
      </c>
      <c r="E130" s="854">
        <v>15</v>
      </c>
      <c r="F130" s="1013">
        <v>1</v>
      </c>
      <c r="G130" s="635">
        <v>7</v>
      </c>
      <c r="H130" s="636">
        <v>12</v>
      </c>
      <c r="I130" s="637"/>
      <c r="J130" s="186">
        <v>15.5</v>
      </c>
      <c r="K130" s="187">
        <v>20.5</v>
      </c>
      <c r="L130" s="192"/>
      <c r="M130" s="635">
        <v>7</v>
      </c>
      <c r="N130" s="636">
        <v>12</v>
      </c>
      <c r="O130" s="651"/>
      <c r="P130" s="424"/>
      <c r="Q130" s="198"/>
      <c r="R130" s="426"/>
      <c r="S130" s="997">
        <v>7</v>
      </c>
      <c r="T130" s="636">
        <v>15</v>
      </c>
      <c r="U130" s="637">
        <v>1</v>
      </c>
      <c r="V130" s="79">
        <v>12.5</v>
      </c>
      <c r="W130" s="80">
        <v>20.5</v>
      </c>
      <c r="X130" s="247">
        <v>1</v>
      </c>
      <c r="Y130" s="1">
        <f t="shared" si="20"/>
        <v>36</v>
      </c>
      <c r="Z130" s="500"/>
      <c r="AA130" s="369"/>
      <c r="AB130" s="24"/>
      <c r="AC130" s="17"/>
      <c r="AD130" s="17"/>
      <c r="AE130" s="17"/>
      <c r="AF130" s="17"/>
    </row>
    <row r="131" spans="1:32" ht="15" customHeight="1">
      <c r="A131" s="50"/>
      <c r="B131" s="2007"/>
      <c r="C131" s="1566" t="s">
        <v>309</v>
      </c>
      <c r="D131" s="1034">
        <v>7</v>
      </c>
      <c r="E131" s="854">
        <v>16</v>
      </c>
      <c r="F131" s="1013">
        <v>1</v>
      </c>
      <c r="G131" s="424"/>
      <c r="H131" s="198"/>
      <c r="I131" s="426"/>
      <c r="J131" s="424"/>
      <c r="K131" s="198"/>
      <c r="L131" s="426"/>
      <c r="M131" s="186">
        <v>15.5</v>
      </c>
      <c r="N131" s="187">
        <v>20.5</v>
      </c>
      <c r="O131" s="188"/>
      <c r="P131" s="186">
        <v>12.5</v>
      </c>
      <c r="Q131" s="187">
        <v>20.5</v>
      </c>
      <c r="R131" s="192">
        <v>1</v>
      </c>
      <c r="S131" s="191">
        <v>14</v>
      </c>
      <c r="T131" s="187">
        <v>21</v>
      </c>
      <c r="U131" s="192">
        <v>1</v>
      </c>
      <c r="V131" s="79">
        <v>11.5</v>
      </c>
      <c r="W131" s="80">
        <v>20.5</v>
      </c>
      <c r="X131" s="247">
        <v>1</v>
      </c>
      <c r="Y131" s="1">
        <f t="shared" si="20"/>
        <v>34</v>
      </c>
      <c r="Z131" s="500"/>
      <c r="AA131" s="369"/>
      <c r="AB131" s="24"/>
      <c r="AC131" s="17"/>
      <c r="AD131" s="17"/>
      <c r="AE131" s="17"/>
      <c r="AF131" s="17"/>
    </row>
    <row r="132" spans="1:32" ht="15" customHeight="1">
      <c r="A132" s="50"/>
      <c r="B132" s="2007"/>
      <c r="C132" s="1566" t="s">
        <v>310</v>
      </c>
      <c r="D132" s="560">
        <v>12.5</v>
      </c>
      <c r="E132" s="80">
        <v>20.5</v>
      </c>
      <c r="F132" s="81">
        <v>1</v>
      </c>
      <c r="G132" s="186">
        <v>16.5</v>
      </c>
      <c r="H132" s="187">
        <v>20.5</v>
      </c>
      <c r="I132" s="192"/>
      <c r="J132" s="186">
        <v>15.5</v>
      </c>
      <c r="K132" s="187">
        <v>20.5</v>
      </c>
      <c r="L132" s="192"/>
      <c r="M132" s="424"/>
      <c r="N132" s="198"/>
      <c r="O132" s="431"/>
      <c r="P132" s="424"/>
      <c r="Q132" s="198"/>
      <c r="R132" s="426"/>
      <c r="S132" s="191">
        <v>13</v>
      </c>
      <c r="T132" s="187">
        <v>21</v>
      </c>
      <c r="U132" s="192">
        <v>1</v>
      </c>
      <c r="V132" s="79">
        <v>12.5</v>
      </c>
      <c r="W132" s="80">
        <v>20.5</v>
      </c>
      <c r="X132" s="247">
        <v>1</v>
      </c>
      <c r="Y132" s="1">
        <f t="shared" si="20"/>
        <v>30</v>
      </c>
      <c r="Z132" s="500"/>
      <c r="AA132" s="369"/>
      <c r="AB132" s="24"/>
      <c r="AC132" s="17"/>
      <c r="AD132" s="17"/>
      <c r="AE132" s="17"/>
      <c r="AF132" s="17"/>
    </row>
    <row r="133" spans="1:32" ht="15" customHeight="1">
      <c r="A133" s="50"/>
      <c r="B133" s="2007"/>
      <c r="C133" s="1566" t="s">
        <v>311</v>
      </c>
      <c r="D133" s="560">
        <v>13.5</v>
      </c>
      <c r="E133" s="80">
        <v>20.5</v>
      </c>
      <c r="F133" s="81">
        <v>1</v>
      </c>
      <c r="G133" s="424"/>
      <c r="H133" s="198"/>
      <c r="I133" s="426"/>
      <c r="J133" s="635">
        <v>7</v>
      </c>
      <c r="K133" s="636">
        <v>12</v>
      </c>
      <c r="L133" s="637"/>
      <c r="M133" s="186">
        <v>16.5</v>
      </c>
      <c r="N133" s="187">
        <v>20.5</v>
      </c>
      <c r="O133" s="188"/>
      <c r="P133" s="186">
        <v>16.5</v>
      </c>
      <c r="Q133" s="187">
        <v>20.5</v>
      </c>
      <c r="R133" s="192"/>
      <c r="S133" s="191">
        <v>14</v>
      </c>
      <c r="T133" s="187">
        <v>21</v>
      </c>
      <c r="U133" s="192">
        <v>1</v>
      </c>
      <c r="V133" s="79">
        <v>13.5</v>
      </c>
      <c r="W133" s="80">
        <v>20.5</v>
      </c>
      <c r="X133" s="247">
        <v>1</v>
      </c>
      <c r="Y133" s="1">
        <f t="shared" si="20"/>
        <v>31</v>
      </c>
      <c r="Z133" s="500"/>
      <c r="AA133" s="369"/>
      <c r="AB133" s="24"/>
      <c r="AC133" s="17"/>
      <c r="AD133" s="17"/>
      <c r="AE133" s="17"/>
      <c r="AF133" s="17"/>
    </row>
    <row r="134" spans="1:32" ht="15" customHeight="1">
      <c r="A134" s="50"/>
      <c r="B134" s="2007"/>
      <c r="C134" s="1566" t="s">
        <v>312</v>
      </c>
      <c r="D134" s="560">
        <v>13.5</v>
      </c>
      <c r="E134" s="80">
        <v>20.5</v>
      </c>
      <c r="F134" s="81">
        <v>1</v>
      </c>
      <c r="G134" s="186">
        <v>16.5</v>
      </c>
      <c r="H134" s="187">
        <v>20.5</v>
      </c>
      <c r="I134" s="192"/>
      <c r="J134" s="424"/>
      <c r="K134" s="198"/>
      <c r="L134" s="426"/>
      <c r="M134" s="424"/>
      <c r="N134" s="198"/>
      <c r="O134" s="431"/>
      <c r="P134" s="635">
        <v>7</v>
      </c>
      <c r="Q134" s="636">
        <v>12</v>
      </c>
      <c r="R134" s="637"/>
      <c r="S134" s="191">
        <v>15</v>
      </c>
      <c r="T134" s="187">
        <v>21</v>
      </c>
      <c r="U134" s="192">
        <v>1</v>
      </c>
      <c r="V134" s="853">
        <v>8</v>
      </c>
      <c r="W134" s="854">
        <v>16</v>
      </c>
      <c r="X134" s="855">
        <v>1</v>
      </c>
      <c r="Y134" s="1">
        <f t="shared" si="20"/>
        <v>27</v>
      </c>
      <c r="Z134" s="500"/>
      <c r="AA134" s="369"/>
      <c r="AB134" s="24"/>
      <c r="AC134" s="17"/>
      <c r="AD134" s="17"/>
      <c r="AE134" s="17"/>
      <c r="AF134" s="17"/>
    </row>
    <row r="135" spans="1:32" ht="15" customHeight="1">
      <c r="A135" s="50"/>
      <c r="B135" s="2007"/>
      <c r="C135" s="1566" t="s">
        <v>314</v>
      </c>
      <c r="D135" s="560">
        <v>13.5</v>
      </c>
      <c r="E135" s="80">
        <v>20.5</v>
      </c>
      <c r="F135" s="81">
        <v>1</v>
      </c>
      <c r="G135" s="424"/>
      <c r="H135" s="198"/>
      <c r="I135" s="426"/>
      <c r="J135" s="424"/>
      <c r="K135" s="198"/>
      <c r="L135" s="426"/>
      <c r="M135" s="186">
        <v>16.5</v>
      </c>
      <c r="N135" s="187">
        <v>20.5</v>
      </c>
      <c r="O135" s="188"/>
      <c r="P135" s="186">
        <v>16.5</v>
      </c>
      <c r="Q135" s="187">
        <v>20.5</v>
      </c>
      <c r="R135" s="192"/>
      <c r="S135" s="997">
        <v>7</v>
      </c>
      <c r="T135" s="636">
        <v>15</v>
      </c>
      <c r="U135" s="637">
        <v>1</v>
      </c>
      <c r="V135" s="79">
        <v>13.5</v>
      </c>
      <c r="W135" s="80">
        <v>20.5</v>
      </c>
      <c r="X135" s="247">
        <v>1</v>
      </c>
      <c r="Y135" s="1">
        <f t="shared" si="20"/>
        <v>27</v>
      </c>
      <c r="Z135" s="500"/>
      <c r="AA135" s="369"/>
      <c r="AB135" s="24"/>
      <c r="AC135" s="17"/>
      <c r="AD135" s="17"/>
      <c r="AE135" s="17"/>
      <c r="AF135" s="17"/>
    </row>
    <row r="136" spans="1:32" ht="15" customHeight="1">
      <c r="A136" s="50"/>
      <c r="B136" s="2311"/>
      <c r="C136" s="1563" t="s">
        <v>315</v>
      </c>
      <c r="D136" s="1035">
        <v>7</v>
      </c>
      <c r="E136" s="1011">
        <v>15</v>
      </c>
      <c r="F136" s="1615">
        <v>1</v>
      </c>
      <c r="G136" s="606">
        <v>16.5</v>
      </c>
      <c r="H136" s="607">
        <v>20.5</v>
      </c>
      <c r="I136" s="608"/>
      <c r="J136" s="936"/>
      <c r="K136" s="937"/>
      <c r="L136" s="1120"/>
      <c r="M136" s="606">
        <v>16.5</v>
      </c>
      <c r="N136" s="607">
        <v>20.5</v>
      </c>
      <c r="O136" s="905"/>
      <c r="P136" s="936"/>
      <c r="Q136" s="937"/>
      <c r="R136" s="1120"/>
      <c r="S136" s="1078">
        <v>15</v>
      </c>
      <c r="T136" s="607">
        <v>21</v>
      </c>
      <c r="U136" s="608">
        <v>1</v>
      </c>
      <c r="V136" s="1614">
        <v>8</v>
      </c>
      <c r="W136" s="1011">
        <v>16</v>
      </c>
      <c r="X136" s="1012">
        <v>1</v>
      </c>
      <c r="Y136" s="1">
        <f t="shared" si="20"/>
        <v>27</v>
      </c>
      <c r="Z136" s="500"/>
      <c r="AA136" s="369"/>
      <c r="AB136" s="24"/>
      <c r="AC136" s="17"/>
      <c r="AD136" s="17"/>
      <c r="AE136" s="17"/>
      <c r="AF136" s="17"/>
    </row>
    <row r="137" spans="1:32" ht="15" customHeight="1">
      <c r="B137" s="2007" t="s">
        <v>316</v>
      </c>
      <c r="C137" s="1606" t="s">
        <v>317</v>
      </c>
      <c r="D137" s="244">
        <v>13.5</v>
      </c>
      <c r="E137" s="237">
        <v>20.5</v>
      </c>
      <c r="F137" s="546">
        <v>1</v>
      </c>
      <c r="G137" s="632">
        <v>7</v>
      </c>
      <c r="H137" s="633">
        <v>12</v>
      </c>
      <c r="I137" s="634"/>
      <c r="J137" s="292">
        <v>16.5</v>
      </c>
      <c r="K137" s="293">
        <v>20.5</v>
      </c>
      <c r="L137" s="530"/>
      <c r="M137" s="586"/>
      <c r="N137" s="570"/>
      <c r="O137" s="592"/>
      <c r="P137" s="292">
        <v>16.5</v>
      </c>
      <c r="Q137" s="293">
        <v>20.5</v>
      </c>
      <c r="R137" s="530"/>
      <c r="S137" s="542">
        <v>15</v>
      </c>
      <c r="T137" s="293">
        <v>21</v>
      </c>
      <c r="U137" s="530">
        <v>1</v>
      </c>
      <c r="V137" s="244">
        <v>13.5</v>
      </c>
      <c r="W137" s="237">
        <v>20.5</v>
      </c>
      <c r="X137" s="546">
        <v>1</v>
      </c>
      <c r="Y137" s="1">
        <f t="shared" si="20"/>
        <v>30</v>
      </c>
      <c r="Z137" s="500"/>
      <c r="AA137" s="369"/>
      <c r="AB137" s="24"/>
      <c r="AC137" s="17"/>
      <c r="AD137" s="17"/>
      <c r="AE137" s="17"/>
      <c r="AF137" s="17"/>
    </row>
    <row r="138" spans="1:32" ht="15" customHeight="1">
      <c r="B138" s="2311"/>
      <c r="C138" s="1563" t="s">
        <v>318</v>
      </c>
      <c r="D138" s="330">
        <v>12.5</v>
      </c>
      <c r="E138" s="331">
        <v>20.5</v>
      </c>
      <c r="F138" s="655">
        <v>1</v>
      </c>
      <c r="G138" s="193"/>
      <c r="H138" s="194"/>
      <c r="I138" s="1525"/>
      <c r="J138" s="407">
        <v>12.5</v>
      </c>
      <c r="K138" s="196">
        <v>20.5</v>
      </c>
      <c r="L138" s="310">
        <v>1</v>
      </c>
      <c r="M138" s="407">
        <v>12.5</v>
      </c>
      <c r="N138" s="196">
        <v>20.5</v>
      </c>
      <c r="O138" s="408">
        <v>1</v>
      </c>
      <c r="P138" s="936"/>
      <c r="Q138" s="937"/>
      <c r="R138" s="1120"/>
      <c r="S138" s="309">
        <v>13</v>
      </c>
      <c r="T138" s="196">
        <v>21</v>
      </c>
      <c r="U138" s="310">
        <v>1</v>
      </c>
      <c r="V138" s="91">
        <v>12.5</v>
      </c>
      <c r="W138" s="92">
        <v>20.5</v>
      </c>
      <c r="X138" s="547">
        <v>1</v>
      </c>
      <c r="Y138" s="1">
        <f t="shared" si="20"/>
        <v>35</v>
      </c>
      <c r="Z138" s="500"/>
      <c r="AA138" s="369"/>
      <c r="AB138" s="24"/>
      <c r="AC138" s="17"/>
      <c r="AD138" s="17"/>
      <c r="AE138" s="17"/>
      <c r="AF138" s="17"/>
    </row>
    <row r="139" spans="1:32" ht="15" customHeight="1">
      <c r="B139" s="32"/>
      <c r="C139" s="295"/>
      <c r="D139" s="1836">
        <f>COUNT(D105:D138)</f>
        <v>28</v>
      </c>
      <c r="E139" s="1837"/>
      <c r="F139" s="1838"/>
      <c r="G139" s="1836">
        <f t="shared" ref="G139" si="21">COUNT(G105:G138)</f>
        <v>21</v>
      </c>
      <c r="H139" s="1837"/>
      <c r="I139" s="1838"/>
      <c r="J139" s="1836">
        <f t="shared" ref="J139" si="22">COUNT(J105:J138)</f>
        <v>21</v>
      </c>
      <c r="K139" s="1837"/>
      <c r="L139" s="1838"/>
      <c r="M139" s="1836">
        <f t="shared" ref="M139" si="23">COUNT(M105:M138)</f>
        <v>25</v>
      </c>
      <c r="N139" s="1837"/>
      <c r="O139" s="1838"/>
      <c r="P139" s="1828">
        <f t="shared" ref="P139" si="24">COUNT(P105:P138)</f>
        <v>22</v>
      </c>
      <c r="Q139" s="1829"/>
      <c r="R139" s="1833"/>
      <c r="S139" s="1836">
        <f t="shared" ref="S139" si="25">COUNT(S105:S138)</f>
        <v>32</v>
      </c>
      <c r="T139" s="1837"/>
      <c r="U139" s="1837"/>
      <c r="V139" s="1836">
        <f t="shared" ref="V139" si="26">COUNT(V105:V138)</f>
        <v>21</v>
      </c>
      <c r="W139" s="1837"/>
      <c r="X139" s="1838"/>
      <c r="Y139" s="1932"/>
      <c r="Z139" s="1932"/>
      <c r="AA139" s="1932"/>
      <c r="AB139" s="24"/>
      <c r="AC139" s="17"/>
      <c r="AD139" s="17"/>
      <c r="AE139" s="17"/>
      <c r="AF139" s="17"/>
    </row>
    <row r="140" spans="1:32" ht="15" customHeight="1">
      <c r="A140" s="50"/>
      <c r="B140" s="336"/>
      <c r="C140" s="295"/>
      <c r="D140" s="1527"/>
      <c r="E140" s="1527"/>
      <c r="F140" s="1527"/>
      <c r="G140" s="1527"/>
      <c r="H140" s="1527"/>
      <c r="I140" s="1527"/>
      <c r="J140" s="1527"/>
      <c r="K140" s="1527"/>
      <c r="L140" s="1527"/>
      <c r="M140" s="1527"/>
      <c r="N140" s="1527"/>
      <c r="O140" s="1527"/>
      <c r="P140" s="1527"/>
      <c r="Q140" s="1527"/>
      <c r="R140" s="1527"/>
      <c r="S140" s="1527"/>
      <c r="T140" s="1527"/>
      <c r="U140" s="1527"/>
      <c r="V140" s="183"/>
      <c r="W140" s="183"/>
      <c r="X140" s="183"/>
      <c r="Y140" s="182"/>
      <c r="Z140" s="182"/>
      <c r="AA140" s="295"/>
      <c r="AB140" s="24"/>
      <c r="AC140" s="17"/>
      <c r="AD140" s="17"/>
      <c r="AE140" s="17"/>
      <c r="AF140" s="17"/>
    </row>
    <row r="141" spans="1:32" ht="15" customHeight="1">
      <c r="A141" s="50"/>
      <c r="B141" s="336"/>
      <c r="C141" s="295"/>
      <c r="D141" s="1527"/>
      <c r="E141" s="1527"/>
      <c r="F141" s="1527"/>
      <c r="G141" s="1527"/>
      <c r="H141" s="1527"/>
      <c r="I141" s="1527"/>
      <c r="J141" s="1527"/>
      <c r="K141" s="1527"/>
      <c r="L141" s="1527"/>
      <c r="M141" s="1527"/>
      <c r="N141" s="1527"/>
      <c r="O141" s="1527"/>
      <c r="P141" s="182"/>
      <c r="Q141" s="182"/>
      <c r="R141" s="182"/>
      <c r="S141" s="144"/>
      <c r="T141" s="144"/>
      <c r="U141" s="144"/>
      <c r="V141" s="183"/>
      <c r="W141" s="183"/>
      <c r="X141" s="183"/>
      <c r="Y141" s="182"/>
      <c r="Z141" s="182"/>
      <c r="AA141" s="295"/>
      <c r="AB141" s="17"/>
      <c r="AC141" s="17"/>
      <c r="AD141" s="17"/>
      <c r="AE141" s="17"/>
      <c r="AF141" s="17"/>
    </row>
    <row r="142" spans="1:32" ht="15" customHeight="1">
      <c r="A142" s="50"/>
      <c r="B142" s="336"/>
      <c r="C142" s="295"/>
      <c r="D142" s="1527"/>
      <c r="E142" s="1527"/>
      <c r="F142" s="1527"/>
      <c r="G142" s="1527"/>
      <c r="H142" s="1527"/>
      <c r="I142" s="1527"/>
      <c r="J142" s="1527"/>
      <c r="K142" s="1527"/>
      <c r="L142" s="1527"/>
      <c r="M142" s="2285"/>
      <c r="N142" s="2285"/>
      <c r="O142" s="2285"/>
      <c r="P142" s="2285" t="s">
        <v>103</v>
      </c>
      <c r="Q142" s="2285"/>
      <c r="R142" s="2285"/>
      <c r="S142" s="1527"/>
      <c r="T142" s="1527"/>
      <c r="U142" s="1527"/>
      <c r="V142" s="183"/>
      <c r="W142" s="183"/>
      <c r="X142" s="183"/>
      <c r="Y142" s="182"/>
      <c r="Z142" s="182"/>
      <c r="AA142" s="295"/>
      <c r="AB142" s="17"/>
      <c r="AC142" s="17"/>
      <c r="AD142" s="17"/>
      <c r="AE142" s="17"/>
      <c r="AF142" s="17"/>
    </row>
    <row r="143" spans="1:32" ht="15" customHeight="1">
      <c r="A143" s="50"/>
      <c r="B143" s="50"/>
      <c r="C143" s="50"/>
      <c r="D143" s="840"/>
      <c r="E143" s="840"/>
      <c r="F143" s="840"/>
      <c r="G143" s="2280" t="s">
        <v>352</v>
      </c>
      <c r="H143" s="2281"/>
      <c r="I143" s="2281"/>
      <c r="J143" s="2283" t="s">
        <v>353</v>
      </c>
      <c r="K143" s="2284"/>
      <c r="L143" s="2284"/>
      <c r="M143" s="2304"/>
      <c r="N143" s="2305"/>
      <c r="O143" s="2305"/>
      <c r="P143" s="2306" t="s">
        <v>175</v>
      </c>
      <c r="Q143" s="2307"/>
      <c r="R143" s="2308"/>
      <c r="S143" s="2341"/>
      <c r="T143" s="2341"/>
      <c r="U143" s="2341"/>
      <c r="V143" s="2341"/>
      <c r="W143" s="2341"/>
      <c r="X143" s="2342"/>
      <c r="Y143" s="50"/>
      <c r="AB143" s="17"/>
      <c r="AC143" s="17"/>
      <c r="AD143" s="17"/>
      <c r="AE143" s="17"/>
      <c r="AF143" s="17"/>
    </row>
    <row r="144" spans="1:32" ht="15" customHeight="1">
      <c r="A144" s="50"/>
      <c r="B144" s="2312" t="s">
        <v>275</v>
      </c>
      <c r="C144" s="2313"/>
      <c r="D144" s="1955"/>
      <c r="E144" s="1955"/>
      <c r="F144" s="1956"/>
      <c r="G144" s="2014" t="s">
        <v>91</v>
      </c>
      <c r="H144" s="2014"/>
      <c r="I144" s="2103"/>
      <c r="J144" s="2085" t="s">
        <v>217</v>
      </c>
      <c r="K144" s="2085"/>
      <c r="L144" s="2343"/>
      <c r="M144" s="2286"/>
      <c r="N144" s="2287"/>
      <c r="O144" s="2288"/>
      <c r="P144" s="2014" t="s">
        <v>354</v>
      </c>
      <c r="Q144" s="2014"/>
      <c r="R144" s="2103"/>
      <c r="S144" s="2085" t="s">
        <v>355</v>
      </c>
      <c r="T144" s="2085"/>
      <c r="U144" s="2343"/>
      <c r="V144" s="2015"/>
      <c r="W144" s="2015"/>
      <c r="X144" s="2017"/>
      <c r="Y144" s="50"/>
      <c r="Z144" s="50"/>
      <c r="AA144" s="47"/>
      <c r="AB144" s="17"/>
      <c r="AC144" s="17"/>
      <c r="AD144" s="17"/>
      <c r="AE144" s="17"/>
      <c r="AF144" s="17"/>
    </row>
    <row r="145" spans="1:32" ht="15" customHeight="1">
      <c r="A145" s="50"/>
      <c r="B145" s="2314"/>
      <c r="C145" s="2323"/>
      <c r="D145" s="2052"/>
      <c r="E145" s="2052"/>
      <c r="F145" s="2053"/>
      <c r="G145" s="2052"/>
      <c r="H145" s="2052"/>
      <c r="I145" s="2053"/>
      <c r="J145" s="2332"/>
      <c r="K145" s="2332"/>
      <c r="L145" s="2332"/>
      <c r="M145" s="2197" t="s">
        <v>353</v>
      </c>
      <c r="N145" s="2198"/>
      <c r="O145" s="2199"/>
      <c r="P145" s="2052"/>
      <c r="Q145" s="2052"/>
      <c r="R145" s="2053"/>
      <c r="S145" s="2332"/>
      <c r="T145" s="2332"/>
      <c r="U145" s="2344"/>
      <c r="V145" s="1878"/>
      <c r="W145" s="1878"/>
      <c r="X145" s="1879"/>
      <c r="Y145" s="17"/>
      <c r="Z145" s="17"/>
      <c r="AA145" s="17"/>
      <c r="AB145" s="17"/>
      <c r="AC145" s="17"/>
      <c r="AD145" s="17"/>
      <c r="AE145" s="17"/>
      <c r="AF145" s="17"/>
    </row>
    <row r="146" spans="1:32" ht="15" customHeight="1">
      <c r="A146" s="50"/>
      <c r="B146" s="822" t="s">
        <v>1</v>
      </c>
      <c r="C146" s="822" t="s">
        <v>2</v>
      </c>
      <c r="D146" s="1804" t="s">
        <v>356</v>
      </c>
      <c r="E146" s="2156"/>
      <c r="F146" s="2309"/>
      <c r="G146" s="1913" t="s">
        <v>357</v>
      </c>
      <c r="H146" s="1950"/>
      <c r="I146" s="2037"/>
      <c r="J146" s="1913" t="s">
        <v>358</v>
      </c>
      <c r="K146" s="1950"/>
      <c r="L146" s="2037"/>
      <c r="M146" s="1931" t="s">
        <v>359</v>
      </c>
      <c r="N146" s="1932"/>
      <c r="O146" s="2138"/>
      <c r="P146" s="2295" t="s">
        <v>360</v>
      </c>
      <c r="Q146" s="2296"/>
      <c r="R146" s="2297"/>
      <c r="S146" s="2088" t="s">
        <v>361</v>
      </c>
      <c r="T146" s="2089"/>
      <c r="U146" s="2090"/>
      <c r="V146" s="2289" t="s">
        <v>362</v>
      </c>
      <c r="W146" s="2290"/>
      <c r="X146" s="2291"/>
      <c r="Y146" s="19" t="s">
        <v>5</v>
      </c>
      <c r="Z146" s="18" t="s">
        <v>6</v>
      </c>
      <c r="AA146" s="20" t="s">
        <v>7</v>
      </c>
      <c r="AB146" s="17"/>
      <c r="AC146" s="17"/>
      <c r="AD146" s="17"/>
      <c r="AE146" s="17"/>
      <c r="AF146" s="17"/>
    </row>
    <row r="147" spans="1:32" ht="15" customHeight="1">
      <c r="A147" s="50"/>
      <c r="B147" s="924" t="s">
        <v>8</v>
      </c>
      <c r="C147" s="1235" t="s">
        <v>277</v>
      </c>
      <c r="D147" s="1665"/>
      <c r="E147" s="1666"/>
      <c r="F147" s="1724"/>
      <c r="G147" s="961">
        <v>11.5</v>
      </c>
      <c r="H147" s="962">
        <v>20.5</v>
      </c>
      <c r="I147" s="963">
        <v>1</v>
      </c>
      <c r="J147" s="1725">
        <v>6</v>
      </c>
      <c r="K147" s="1726">
        <v>16</v>
      </c>
      <c r="L147" s="1727">
        <v>1</v>
      </c>
      <c r="M147" s="965"/>
      <c r="N147" s="966"/>
      <c r="O147" s="967"/>
      <c r="P147" s="968">
        <v>7</v>
      </c>
      <c r="Q147" s="969">
        <v>16</v>
      </c>
      <c r="R147" s="986">
        <v>1</v>
      </c>
      <c r="S147" s="1720">
        <v>15</v>
      </c>
      <c r="T147" s="1721">
        <v>24</v>
      </c>
      <c r="U147" s="1722">
        <v>1</v>
      </c>
      <c r="V147" s="409">
        <v>10.5</v>
      </c>
      <c r="W147" s="410">
        <v>20.5</v>
      </c>
      <c r="X147" s="984">
        <v>1</v>
      </c>
      <c r="Y147" s="952">
        <f>SUM(E147-D147-F147+H147-G147-I147+K147-J147-L147+N147-M147-O147+Q147-P147-R147+T147-S147-U147+W147-V147-X147)</f>
        <v>42</v>
      </c>
      <c r="Z147" s="764"/>
      <c r="AA147" s="964"/>
      <c r="AB147" s="17"/>
      <c r="AC147" s="17"/>
      <c r="AD147" s="17"/>
      <c r="AE147" s="17"/>
      <c r="AF147" s="17"/>
    </row>
    <row r="148" spans="1:32" ht="15" customHeight="1">
      <c r="A148" s="50"/>
      <c r="B148" s="2117" t="s">
        <v>11</v>
      </c>
      <c r="C148" s="1728" t="s">
        <v>279</v>
      </c>
      <c r="D148" s="1705">
        <v>7</v>
      </c>
      <c r="E148" s="1612">
        <v>17</v>
      </c>
      <c r="F148" s="1630">
        <v>1</v>
      </c>
      <c r="G148" s="1091">
        <v>11.5</v>
      </c>
      <c r="H148" s="1092">
        <v>20.5</v>
      </c>
      <c r="I148" s="1093">
        <v>1</v>
      </c>
      <c r="J148" s="1694">
        <v>11.5</v>
      </c>
      <c r="K148" s="1695">
        <v>20.5</v>
      </c>
      <c r="L148" s="1729">
        <v>1</v>
      </c>
      <c r="M148" s="1091">
        <v>11.5</v>
      </c>
      <c r="N148" s="1092">
        <v>20.5</v>
      </c>
      <c r="O148" s="1093">
        <v>1</v>
      </c>
      <c r="P148" s="1085"/>
      <c r="Q148" s="325"/>
      <c r="R148" s="372"/>
      <c r="S148" s="1628">
        <v>14</v>
      </c>
      <c r="T148" s="1244">
        <v>24</v>
      </c>
      <c r="U148" s="1245">
        <v>1</v>
      </c>
      <c r="V148" s="1496"/>
      <c r="W148" s="169"/>
      <c r="X148" s="1622"/>
      <c r="Y148" s="23">
        <f t="shared" ref="Y148:Y159" si="27">SUM(E148-D148-F148+H148-G148-I148+K148-J148-L148+N148-M148-O148+Q148-P148-R148+T148-S148-U148+W148-V148-X148)</f>
        <v>42</v>
      </c>
      <c r="Z148" s="361"/>
      <c r="AA148" s="5"/>
      <c r="AB148" s="17"/>
      <c r="AC148" s="17"/>
      <c r="AD148" s="17"/>
      <c r="AE148" s="17"/>
      <c r="AF148" s="17"/>
    </row>
    <row r="149" spans="1:32" ht="15" customHeight="1">
      <c r="A149" s="50"/>
      <c r="B149" s="2320"/>
      <c r="C149" s="931" t="s">
        <v>281</v>
      </c>
      <c r="D149" s="91">
        <v>11.5</v>
      </c>
      <c r="E149" s="92">
        <v>20.5</v>
      </c>
      <c r="F149" s="547">
        <v>1</v>
      </c>
      <c r="G149" s="407">
        <v>11.5</v>
      </c>
      <c r="H149" s="196">
        <v>20.5</v>
      </c>
      <c r="I149" s="310">
        <v>1</v>
      </c>
      <c r="J149" s="193"/>
      <c r="K149" s="194"/>
      <c r="L149" s="1525"/>
      <c r="M149" s="193"/>
      <c r="N149" s="194"/>
      <c r="O149" s="195"/>
      <c r="P149" s="1285">
        <v>12</v>
      </c>
      <c r="Q149" s="947">
        <v>21</v>
      </c>
      <c r="R149" s="948">
        <v>1</v>
      </c>
      <c r="S149" s="939">
        <v>7</v>
      </c>
      <c r="T149" s="940">
        <v>17</v>
      </c>
      <c r="U149" s="941">
        <v>1</v>
      </c>
      <c r="V149" s="422">
        <v>10.5</v>
      </c>
      <c r="W149" s="92">
        <v>20.5</v>
      </c>
      <c r="X149" s="547">
        <v>1</v>
      </c>
      <c r="Y149" s="21">
        <f>SUM(E149-D149-F149+H149-G149-I149+K149-J149-L149+N149-M149-O149+Q149-P149-R149+T149-S149-U149+W149-V149-X149)</f>
        <v>42</v>
      </c>
      <c r="Z149" s="363"/>
      <c r="AA149" s="369"/>
      <c r="AB149" s="17"/>
      <c r="AC149" s="17"/>
      <c r="AD149" s="17"/>
      <c r="AE149" s="17"/>
      <c r="AF149" s="17"/>
    </row>
    <row r="150" spans="1:32" ht="15" customHeight="1">
      <c r="A150" s="50"/>
      <c r="B150" s="2192" t="s">
        <v>52</v>
      </c>
      <c r="C150" s="922" t="s">
        <v>282</v>
      </c>
      <c r="D150" s="558">
        <v>11.5</v>
      </c>
      <c r="E150" s="237">
        <v>20.5</v>
      </c>
      <c r="F150" s="245">
        <v>1</v>
      </c>
      <c r="G150" s="586"/>
      <c r="H150" s="570"/>
      <c r="I150" s="592"/>
      <c r="J150" s="1142">
        <v>14</v>
      </c>
      <c r="K150" s="1143">
        <v>23</v>
      </c>
      <c r="L150" s="1144">
        <v>1</v>
      </c>
      <c r="M150" s="292">
        <v>11.5</v>
      </c>
      <c r="N150" s="293">
        <v>20.5</v>
      </c>
      <c r="O150" s="294">
        <v>1</v>
      </c>
      <c r="P150" s="292">
        <v>11</v>
      </c>
      <c r="Q150" s="293">
        <v>21</v>
      </c>
      <c r="R150" s="294">
        <v>1</v>
      </c>
      <c r="S150" s="632">
        <v>7</v>
      </c>
      <c r="T150" s="633">
        <v>17</v>
      </c>
      <c r="U150" s="634">
        <v>1</v>
      </c>
      <c r="V150" s="682"/>
      <c r="W150" s="683"/>
      <c r="X150" s="911"/>
      <c r="Y150" s="21">
        <f t="shared" si="27"/>
        <v>42</v>
      </c>
      <c r="Z150" s="524"/>
      <c r="AA150" s="54"/>
      <c r="AB150" s="17"/>
      <c r="AC150" s="17"/>
      <c r="AD150" s="17"/>
      <c r="AE150" s="17"/>
      <c r="AF150" s="17"/>
    </row>
    <row r="151" spans="1:32" ht="15" customHeight="1">
      <c r="A151" s="50"/>
      <c r="B151" s="2192"/>
      <c r="C151" s="923" t="s">
        <v>283</v>
      </c>
      <c r="D151" s="421">
        <v>11.5</v>
      </c>
      <c r="E151" s="71">
        <v>20.5</v>
      </c>
      <c r="F151" s="151">
        <v>1</v>
      </c>
      <c r="G151" s="1091">
        <v>11.5</v>
      </c>
      <c r="H151" s="1092">
        <v>20.5</v>
      </c>
      <c r="I151" s="1094">
        <v>1</v>
      </c>
      <c r="J151" s="1085"/>
      <c r="K151" s="325"/>
      <c r="L151" s="870"/>
      <c r="M151" s="1694">
        <v>11.5</v>
      </c>
      <c r="N151" s="1695">
        <v>20.5</v>
      </c>
      <c r="O151" s="1696">
        <v>1</v>
      </c>
      <c r="P151" s="635">
        <v>6</v>
      </c>
      <c r="Q151" s="636">
        <v>16</v>
      </c>
      <c r="R151" s="651">
        <v>1</v>
      </c>
      <c r="S151" s="1628">
        <v>14</v>
      </c>
      <c r="T151" s="1244">
        <v>24</v>
      </c>
      <c r="U151" s="1245">
        <v>1</v>
      </c>
      <c r="V151" s="168"/>
      <c r="W151" s="169"/>
      <c r="X151" s="1622"/>
      <c r="Y151" s="21">
        <f t="shared" si="27"/>
        <v>42</v>
      </c>
      <c r="Z151" s="524"/>
      <c r="AA151" s="54"/>
      <c r="AB151" s="17"/>
      <c r="AC151" s="17"/>
      <c r="AD151" s="17"/>
      <c r="AE151" s="17"/>
      <c r="AF151" s="17"/>
    </row>
    <row r="152" spans="1:32" ht="15" customHeight="1">
      <c r="A152" s="50"/>
      <c r="B152" s="2192"/>
      <c r="C152" s="923" t="s">
        <v>287</v>
      </c>
      <c r="D152" s="560">
        <v>11.5</v>
      </c>
      <c r="E152" s="80">
        <v>20.5</v>
      </c>
      <c r="F152" s="247">
        <v>1</v>
      </c>
      <c r="G152" s="186">
        <v>11.5</v>
      </c>
      <c r="H152" s="187">
        <v>20.5</v>
      </c>
      <c r="I152" s="188">
        <v>1</v>
      </c>
      <c r="J152" s="424"/>
      <c r="K152" s="198"/>
      <c r="L152" s="431"/>
      <c r="M152" s="635">
        <v>6</v>
      </c>
      <c r="N152" s="636">
        <v>16</v>
      </c>
      <c r="O152" s="651">
        <v>1</v>
      </c>
      <c r="P152" s="186">
        <v>10.5</v>
      </c>
      <c r="Q152" s="187">
        <v>20.5</v>
      </c>
      <c r="R152" s="188">
        <v>1</v>
      </c>
      <c r="S152" s="186">
        <v>10</v>
      </c>
      <c r="T152" s="187">
        <v>19</v>
      </c>
      <c r="U152" s="192">
        <v>1</v>
      </c>
      <c r="V152" s="173"/>
      <c r="W152" s="174"/>
      <c r="X152" s="175"/>
      <c r="Y152" s="21">
        <f t="shared" si="27"/>
        <v>42</v>
      </c>
      <c r="Z152" s="297"/>
      <c r="AA152" s="55"/>
      <c r="AB152" s="17"/>
      <c r="AC152" s="17"/>
      <c r="AD152" s="17"/>
      <c r="AE152" s="17"/>
      <c r="AF152" s="17"/>
    </row>
    <row r="153" spans="1:32" ht="15" customHeight="1">
      <c r="A153" s="50"/>
      <c r="B153" s="2049"/>
      <c r="C153" s="927" t="s">
        <v>288</v>
      </c>
      <c r="D153" s="597"/>
      <c r="E153" s="212"/>
      <c r="F153" s="213"/>
      <c r="G153" s="939">
        <v>6</v>
      </c>
      <c r="H153" s="940">
        <v>16</v>
      </c>
      <c r="I153" s="974">
        <v>1</v>
      </c>
      <c r="J153" s="407">
        <v>12</v>
      </c>
      <c r="K153" s="196">
        <v>20</v>
      </c>
      <c r="L153" s="408">
        <v>1</v>
      </c>
      <c r="M153" s="193"/>
      <c r="N153" s="194"/>
      <c r="O153" s="195"/>
      <c r="P153" s="407">
        <v>13.5</v>
      </c>
      <c r="Q153" s="196">
        <v>21</v>
      </c>
      <c r="R153" s="408">
        <v>1</v>
      </c>
      <c r="S153" s="407">
        <v>11.5</v>
      </c>
      <c r="T153" s="196">
        <v>21</v>
      </c>
      <c r="U153" s="310">
        <v>1</v>
      </c>
      <c r="V153" s="91">
        <v>11</v>
      </c>
      <c r="W153" s="92">
        <v>20.5</v>
      </c>
      <c r="X153" s="547">
        <v>1</v>
      </c>
      <c r="Y153" s="21">
        <f t="shared" si="27"/>
        <v>39.5</v>
      </c>
      <c r="Z153" s="525"/>
      <c r="AA153" s="56"/>
      <c r="AB153" s="17"/>
      <c r="AC153" s="17"/>
      <c r="AD153" s="17"/>
      <c r="AE153" s="17"/>
      <c r="AF153" s="17"/>
    </row>
    <row r="154" spans="1:32" ht="15" customHeight="1">
      <c r="A154" s="50"/>
      <c r="B154" s="1710" t="s">
        <v>363</v>
      </c>
      <c r="C154" s="1723" t="s">
        <v>289</v>
      </c>
      <c r="D154" s="1730"/>
      <c r="E154" s="1666"/>
      <c r="F154" s="1667"/>
      <c r="G154" s="968">
        <v>7</v>
      </c>
      <c r="H154" s="969">
        <v>16</v>
      </c>
      <c r="I154" s="1664">
        <v>1</v>
      </c>
      <c r="J154" s="961">
        <v>11.5</v>
      </c>
      <c r="K154" s="962">
        <v>20.5</v>
      </c>
      <c r="L154" s="1713">
        <v>1</v>
      </c>
      <c r="M154" s="968">
        <v>6</v>
      </c>
      <c r="N154" s="969">
        <v>16</v>
      </c>
      <c r="O154" s="1664">
        <v>1</v>
      </c>
      <c r="P154" s="965"/>
      <c r="Q154" s="966"/>
      <c r="R154" s="1719"/>
      <c r="S154" s="1720">
        <v>15</v>
      </c>
      <c r="T154" s="1721">
        <v>24</v>
      </c>
      <c r="U154" s="1722">
        <v>1</v>
      </c>
      <c r="V154" s="409">
        <v>10.5</v>
      </c>
      <c r="W154" s="410">
        <v>20.5</v>
      </c>
      <c r="X154" s="984">
        <v>1</v>
      </c>
      <c r="Y154" s="952">
        <f t="shared" si="27"/>
        <v>42</v>
      </c>
      <c r="Z154" s="764"/>
      <c r="AA154" s="964"/>
      <c r="AB154" s="17"/>
      <c r="AC154" s="17"/>
      <c r="AD154" s="17"/>
      <c r="AE154" s="17"/>
      <c r="AF154" s="17"/>
    </row>
    <row r="155" spans="1:32" ht="15" customHeight="1">
      <c r="A155" s="50"/>
      <c r="B155" s="1825" t="s">
        <v>171</v>
      </c>
      <c r="C155" s="1716" t="s">
        <v>284</v>
      </c>
      <c r="D155" s="421">
        <v>11.5</v>
      </c>
      <c r="E155" s="71">
        <v>20.5</v>
      </c>
      <c r="F155" s="72">
        <v>1</v>
      </c>
      <c r="G155" s="1091">
        <v>11.5</v>
      </c>
      <c r="H155" s="1092">
        <v>20.5</v>
      </c>
      <c r="I155" s="1093">
        <v>1</v>
      </c>
      <c r="J155" s="1085"/>
      <c r="K155" s="325"/>
      <c r="L155" s="372"/>
      <c r="M155" s="1085"/>
      <c r="N155" s="325"/>
      <c r="O155" s="372"/>
      <c r="P155" s="1091">
        <v>11</v>
      </c>
      <c r="Q155" s="1092">
        <v>21</v>
      </c>
      <c r="R155" s="1093">
        <v>1</v>
      </c>
      <c r="S155" s="1091">
        <v>10</v>
      </c>
      <c r="T155" s="1092">
        <v>19</v>
      </c>
      <c r="U155" s="1093">
        <v>1</v>
      </c>
      <c r="V155" s="1705">
        <v>8</v>
      </c>
      <c r="W155" s="1612">
        <v>18</v>
      </c>
      <c r="X155" s="1630">
        <v>1</v>
      </c>
      <c r="Y155" s="23">
        <f t="shared" si="27"/>
        <v>42</v>
      </c>
      <c r="Z155" s="361"/>
      <c r="AA155" s="5"/>
      <c r="AB155" s="17"/>
      <c r="AC155" s="17"/>
      <c r="AD155" s="17"/>
      <c r="AE155" s="17"/>
      <c r="AF155" s="17"/>
    </row>
    <row r="156" spans="1:32">
      <c r="A156" s="50"/>
      <c r="B156" s="1765"/>
      <c r="C156" s="1717" t="s">
        <v>290</v>
      </c>
      <c r="D156" s="560">
        <v>11.5</v>
      </c>
      <c r="E156" s="80">
        <v>20.5</v>
      </c>
      <c r="F156" s="81">
        <v>1</v>
      </c>
      <c r="G156" s="635">
        <v>6</v>
      </c>
      <c r="H156" s="636">
        <v>16</v>
      </c>
      <c r="I156" s="637">
        <v>1</v>
      </c>
      <c r="J156" s="1626">
        <v>14</v>
      </c>
      <c r="K156" s="1210">
        <v>23</v>
      </c>
      <c r="L156" s="1627">
        <v>1</v>
      </c>
      <c r="M156" s="186">
        <v>11.5</v>
      </c>
      <c r="N156" s="187">
        <v>20.5</v>
      </c>
      <c r="O156" s="192">
        <v>1</v>
      </c>
      <c r="P156" s="424"/>
      <c r="Q156" s="198"/>
      <c r="R156" s="426"/>
      <c r="S156" s="1626">
        <v>14</v>
      </c>
      <c r="T156" s="1210">
        <v>24</v>
      </c>
      <c r="U156" s="1627">
        <v>1</v>
      </c>
      <c r="V156" s="173"/>
      <c r="W156" s="174"/>
      <c r="X156" s="175"/>
      <c r="Y156" s="21">
        <f t="shared" si="27"/>
        <v>42</v>
      </c>
      <c r="Z156" s="363"/>
      <c r="AA156" s="369"/>
      <c r="AB156" s="17"/>
      <c r="AC156" s="17"/>
      <c r="AD156" s="17"/>
      <c r="AE156" s="17"/>
      <c r="AF156" s="17"/>
    </row>
    <row r="157" spans="1:32">
      <c r="A157" s="50"/>
      <c r="B157" s="1765"/>
      <c r="C157" s="1717" t="s">
        <v>291</v>
      </c>
      <c r="D157" s="559"/>
      <c r="E157" s="174"/>
      <c r="F157" s="175"/>
      <c r="G157" s="186">
        <v>11.5</v>
      </c>
      <c r="H157" s="187">
        <v>20.5</v>
      </c>
      <c r="I157" s="192">
        <v>1</v>
      </c>
      <c r="J157" s="186">
        <v>11.5</v>
      </c>
      <c r="K157" s="187">
        <v>20.5</v>
      </c>
      <c r="L157" s="192">
        <v>1</v>
      </c>
      <c r="M157" s="186">
        <v>11.5</v>
      </c>
      <c r="N157" s="187">
        <v>20.5</v>
      </c>
      <c r="O157" s="192">
        <v>1</v>
      </c>
      <c r="P157" s="424"/>
      <c r="Q157" s="198"/>
      <c r="R157" s="426"/>
      <c r="S157" s="1626">
        <v>14</v>
      </c>
      <c r="T157" s="1210">
        <v>24</v>
      </c>
      <c r="U157" s="1627">
        <v>1</v>
      </c>
      <c r="V157" s="79">
        <v>10.5</v>
      </c>
      <c r="W157" s="80">
        <v>20.5</v>
      </c>
      <c r="X157" s="81">
        <v>1</v>
      </c>
      <c r="Y157" s="21">
        <f t="shared" si="27"/>
        <v>42</v>
      </c>
      <c r="Z157" s="361"/>
      <c r="AA157" s="5"/>
      <c r="AB157" s="17"/>
      <c r="AC157" s="17"/>
      <c r="AD157" s="17"/>
      <c r="AE157" s="17"/>
      <c r="AF157" s="17"/>
    </row>
    <row r="158" spans="1:32">
      <c r="A158" s="50"/>
      <c r="B158" s="1765"/>
      <c r="C158" s="1717" t="s">
        <v>292</v>
      </c>
      <c r="D158" s="560">
        <v>10.5</v>
      </c>
      <c r="E158" s="80">
        <v>20.5</v>
      </c>
      <c r="F158" s="81">
        <v>1</v>
      </c>
      <c r="G158" s="424"/>
      <c r="H158" s="198"/>
      <c r="I158" s="426"/>
      <c r="J158" s="1626">
        <v>14</v>
      </c>
      <c r="K158" s="1210">
        <v>23</v>
      </c>
      <c r="L158" s="1627">
        <v>1</v>
      </c>
      <c r="M158" s="186">
        <v>11.5</v>
      </c>
      <c r="N158" s="187">
        <v>20.5</v>
      </c>
      <c r="O158" s="192">
        <v>1</v>
      </c>
      <c r="P158" s="635">
        <v>6</v>
      </c>
      <c r="Q158" s="636">
        <v>16</v>
      </c>
      <c r="R158" s="637">
        <v>1</v>
      </c>
      <c r="S158" s="186">
        <v>12</v>
      </c>
      <c r="T158" s="187">
        <v>21</v>
      </c>
      <c r="U158" s="192">
        <v>1</v>
      </c>
      <c r="V158" s="173"/>
      <c r="W158" s="174"/>
      <c r="X158" s="175"/>
      <c r="Y158" s="21">
        <f t="shared" si="27"/>
        <v>42</v>
      </c>
      <c r="Z158" s="362"/>
      <c r="AA158" s="6"/>
      <c r="AB158" s="17"/>
      <c r="AC158" s="17"/>
      <c r="AD158" s="17"/>
      <c r="AE158" s="17"/>
      <c r="AF158" s="17"/>
    </row>
    <row r="159" spans="1:32">
      <c r="A159" s="50"/>
      <c r="B159" s="1765"/>
      <c r="C159" s="1717" t="s">
        <v>293</v>
      </c>
      <c r="D159" s="559"/>
      <c r="E159" s="174"/>
      <c r="F159" s="175"/>
      <c r="G159" s="186">
        <v>11.5</v>
      </c>
      <c r="H159" s="187">
        <v>20.5</v>
      </c>
      <c r="I159" s="192">
        <v>1</v>
      </c>
      <c r="J159" s="424"/>
      <c r="K159" s="198"/>
      <c r="L159" s="426"/>
      <c r="M159" s="635">
        <v>7</v>
      </c>
      <c r="N159" s="636">
        <v>17</v>
      </c>
      <c r="O159" s="637">
        <v>1</v>
      </c>
      <c r="P159" s="186">
        <v>12</v>
      </c>
      <c r="Q159" s="187">
        <v>21</v>
      </c>
      <c r="R159" s="192">
        <v>1</v>
      </c>
      <c r="S159" s="186">
        <v>12</v>
      </c>
      <c r="T159" s="187">
        <v>21</v>
      </c>
      <c r="U159" s="192">
        <v>1</v>
      </c>
      <c r="V159" s="853">
        <v>8</v>
      </c>
      <c r="W159" s="854">
        <v>18</v>
      </c>
      <c r="X159" s="1013">
        <v>1</v>
      </c>
      <c r="Y159" s="21">
        <f t="shared" si="27"/>
        <v>42</v>
      </c>
      <c r="Z159" s="362"/>
      <c r="AA159" s="6"/>
      <c r="AB159" s="17"/>
      <c r="AC159" s="17"/>
      <c r="AD159" s="17"/>
      <c r="AE159" s="17"/>
      <c r="AF159" s="17"/>
    </row>
    <row r="160" spans="1:32" ht="16.5" customHeight="1">
      <c r="A160" s="50"/>
      <c r="B160" s="1765"/>
      <c r="C160" s="1717" t="s">
        <v>296</v>
      </c>
      <c r="D160" s="559"/>
      <c r="E160" s="174"/>
      <c r="F160" s="175"/>
      <c r="G160" s="186">
        <v>11.5</v>
      </c>
      <c r="H160" s="187">
        <v>20.5</v>
      </c>
      <c r="I160" s="192">
        <v>1</v>
      </c>
      <c r="J160" s="186">
        <v>11.5</v>
      </c>
      <c r="K160" s="187">
        <v>20.5</v>
      </c>
      <c r="L160" s="192">
        <v>1</v>
      </c>
      <c r="M160" s="635">
        <v>7</v>
      </c>
      <c r="N160" s="636">
        <v>16</v>
      </c>
      <c r="O160" s="637">
        <v>1</v>
      </c>
      <c r="P160" s="186">
        <v>11</v>
      </c>
      <c r="Q160" s="187">
        <v>21</v>
      </c>
      <c r="R160" s="192">
        <v>1</v>
      </c>
      <c r="S160" s="635">
        <v>7</v>
      </c>
      <c r="T160" s="636">
        <v>17</v>
      </c>
      <c r="U160" s="637">
        <v>1</v>
      </c>
      <c r="V160" s="173"/>
      <c r="W160" s="174"/>
      <c r="X160" s="175"/>
      <c r="Y160" s="21">
        <f t="shared" ref="Y160:Y178" si="28">SUM(E160-D160-F160+H160-G160-I160+K160-J160-L160+N160-M160-O160+Q160-P160-R160+T160-S160-U160+W160-V160-X160)</f>
        <v>42</v>
      </c>
      <c r="Z160" s="362"/>
      <c r="AA160" s="6"/>
      <c r="AB160" s="17"/>
      <c r="AC160" s="17"/>
      <c r="AD160" s="17"/>
      <c r="AE160" s="17"/>
      <c r="AF160" s="17"/>
    </row>
    <row r="161" spans="1:32">
      <c r="A161" s="50"/>
      <c r="B161" s="1765"/>
      <c r="C161" s="1717" t="s">
        <v>297</v>
      </c>
      <c r="D161" s="560">
        <v>11.5</v>
      </c>
      <c r="E161" s="80">
        <v>20.5</v>
      </c>
      <c r="F161" s="81">
        <v>1</v>
      </c>
      <c r="G161" s="795">
        <v>7</v>
      </c>
      <c r="H161" s="796">
        <v>12</v>
      </c>
      <c r="I161" s="1678"/>
      <c r="J161" s="424"/>
      <c r="K161" s="198"/>
      <c r="L161" s="426"/>
      <c r="M161" s="186">
        <v>11.5</v>
      </c>
      <c r="N161" s="187">
        <v>20.5</v>
      </c>
      <c r="O161" s="192">
        <v>1</v>
      </c>
      <c r="P161" s="424"/>
      <c r="Q161" s="198"/>
      <c r="R161" s="426"/>
      <c r="S161" s="1626">
        <v>15</v>
      </c>
      <c r="T161" s="1210">
        <v>24</v>
      </c>
      <c r="U161" s="1627">
        <v>1</v>
      </c>
      <c r="V161" s="79">
        <v>10.5</v>
      </c>
      <c r="W161" s="80">
        <v>20.5</v>
      </c>
      <c r="X161" s="81">
        <v>1</v>
      </c>
      <c r="Y161" s="21">
        <f t="shared" si="28"/>
        <v>38</v>
      </c>
      <c r="Z161" s="364"/>
      <c r="AA161" s="14"/>
      <c r="AB161" s="17"/>
      <c r="AC161" s="17"/>
      <c r="AD161" s="17"/>
      <c r="AE161" s="17"/>
      <c r="AF161" s="17"/>
    </row>
    <row r="162" spans="1:32">
      <c r="A162" s="50"/>
      <c r="B162" s="1765"/>
      <c r="C162" s="1717" t="s">
        <v>298</v>
      </c>
      <c r="D162" s="560">
        <v>10.5</v>
      </c>
      <c r="E162" s="80">
        <v>20.5</v>
      </c>
      <c r="F162" s="81">
        <v>1</v>
      </c>
      <c r="G162" s="186">
        <v>11.5</v>
      </c>
      <c r="H162" s="187">
        <v>20.5</v>
      </c>
      <c r="I162" s="192">
        <v>1</v>
      </c>
      <c r="J162" s="186">
        <v>11.5</v>
      </c>
      <c r="K162" s="187">
        <v>20.5</v>
      </c>
      <c r="L162" s="192">
        <v>1</v>
      </c>
      <c r="M162" s="424"/>
      <c r="N162" s="198"/>
      <c r="O162" s="426"/>
      <c r="P162" s="635">
        <v>7</v>
      </c>
      <c r="Q162" s="636">
        <v>16</v>
      </c>
      <c r="R162" s="637">
        <v>1</v>
      </c>
      <c r="S162" s="1626">
        <v>14</v>
      </c>
      <c r="T162" s="1210">
        <v>24</v>
      </c>
      <c r="U162" s="1627">
        <v>1</v>
      </c>
      <c r="V162" s="173"/>
      <c r="W162" s="174"/>
      <c r="X162" s="175"/>
      <c r="Y162" s="21">
        <f t="shared" si="28"/>
        <v>42</v>
      </c>
      <c r="Z162" s="362"/>
      <c r="AA162" s="6"/>
      <c r="AB162" s="17"/>
      <c r="AC162" s="17"/>
      <c r="AD162" s="17"/>
      <c r="AE162" s="17"/>
      <c r="AF162" s="17"/>
    </row>
    <row r="163" spans="1:32">
      <c r="A163" s="50"/>
      <c r="B163" s="1765"/>
      <c r="C163" s="1717" t="s">
        <v>299</v>
      </c>
      <c r="D163" s="560">
        <v>10.5</v>
      </c>
      <c r="E163" s="80">
        <v>20.5</v>
      </c>
      <c r="F163" s="81">
        <v>1</v>
      </c>
      <c r="G163" s="424"/>
      <c r="H163" s="198"/>
      <c r="I163" s="426"/>
      <c r="J163" s="635">
        <v>7</v>
      </c>
      <c r="K163" s="636">
        <v>16</v>
      </c>
      <c r="L163" s="637">
        <v>1</v>
      </c>
      <c r="M163" s="186">
        <v>11.5</v>
      </c>
      <c r="N163" s="187">
        <v>20.5</v>
      </c>
      <c r="O163" s="192">
        <v>1</v>
      </c>
      <c r="P163" s="186">
        <v>12</v>
      </c>
      <c r="Q163" s="187">
        <v>21</v>
      </c>
      <c r="R163" s="192">
        <v>1</v>
      </c>
      <c r="S163" s="186">
        <v>11</v>
      </c>
      <c r="T163" s="187">
        <v>21</v>
      </c>
      <c r="U163" s="192">
        <v>1</v>
      </c>
      <c r="V163" s="173"/>
      <c r="W163" s="174"/>
      <c r="X163" s="175"/>
      <c r="Y163" s="21">
        <f t="shared" si="28"/>
        <v>42</v>
      </c>
      <c r="Z163" s="362"/>
      <c r="AA163" s="6"/>
      <c r="AB163" s="17"/>
      <c r="AC163" s="17"/>
      <c r="AD163" s="17"/>
      <c r="AE163" s="17"/>
      <c r="AF163" s="17"/>
    </row>
    <row r="164" spans="1:32">
      <c r="A164" s="50"/>
      <c r="B164" s="1766"/>
      <c r="C164" s="1718" t="s">
        <v>300</v>
      </c>
      <c r="D164" s="597"/>
      <c r="E164" s="212"/>
      <c r="F164" s="307"/>
      <c r="G164" s="82">
        <v>11.5</v>
      </c>
      <c r="H164" s="83">
        <v>20.5</v>
      </c>
      <c r="I164" s="413">
        <v>1</v>
      </c>
      <c r="J164" s="82">
        <v>11.5</v>
      </c>
      <c r="K164" s="83">
        <v>20.5</v>
      </c>
      <c r="L164" s="413">
        <v>1</v>
      </c>
      <c r="M164" s="355"/>
      <c r="N164" s="346"/>
      <c r="O164" s="661"/>
      <c r="P164" s="319">
        <v>7</v>
      </c>
      <c r="Q164" s="320">
        <v>16</v>
      </c>
      <c r="R164" s="1714">
        <v>1</v>
      </c>
      <c r="S164" s="82">
        <v>11</v>
      </c>
      <c r="T164" s="83">
        <v>21</v>
      </c>
      <c r="U164" s="413">
        <v>1</v>
      </c>
      <c r="V164" s="91">
        <v>10.5</v>
      </c>
      <c r="W164" s="92">
        <v>20.5</v>
      </c>
      <c r="X164" s="547">
        <v>1</v>
      </c>
      <c r="Y164" s="19">
        <f t="shared" si="28"/>
        <v>42</v>
      </c>
      <c r="Z164" s="822"/>
      <c r="AA164" s="366"/>
      <c r="AB164" s="17"/>
      <c r="AC164" s="17"/>
      <c r="AD164" s="17"/>
      <c r="AE164" s="17"/>
      <c r="AF164" s="17"/>
    </row>
    <row r="165" spans="1:32" ht="15" customHeight="1">
      <c r="A165" s="50"/>
      <c r="B165" s="1709" t="s">
        <v>302</v>
      </c>
      <c r="C165" s="1623" t="s">
        <v>303</v>
      </c>
      <c r="D165" s="1247">
        <v>13.5</v>
      </c>
      <c r="E165" s="410">
        <v>20.5</v>
      </c>
      <c r="F165" s="420">
        <v>1</v>
      </c>
      <c r="G165" s="1711">
        <v>13.5</v>
      </c>
      <c r="H165" s="311">
        <v>20.5</v>
      </c>
      <c r="I165" s="1646">
        <v>1</v>
      </c>
      <c r="J165" s="1735">
        <v>7</v>
      </c>
      <c r="K165" s="969">
        <v>16</v>
      </c>
      <c r="L165" s="986">
        <v>1</v>
      </c>
      <c r="M165" s="1596">
        <v>13.5</v>
      </c>
      <c r="N165" s="1597">
        <v>20.5</v>
      </c>
      <c r="O165" s="1598">
        <v>1</v>
      </c>
      <c r="P165" s="1712"/>
      <c r="Q165" s="966"/>
      <c r="R165" s="967"/>
      <c r="S165" s="1720">
        <v>15</v>
      </c>
      <c r="T165" s="1721">
        <v>24</v>
      </c>
      <c r="U165" s="1722">
        <v>1</v>
      </c>
      <c r="V165" s="409">
        <v>11.5</v>
      </c>
      <c r="W165" s="410">
        <v>20.5</v>
      </c>
      <c r="X165" s="420">
        <v>1</v>
      </c>
      <c r="Y165" s="764">
        <f t="shared" si="28"/>
        <v>42</v>
      </c>
      <c r="Z165" s="764"/>
      <c r="AA165" s="964"/>
      <c r="AB165" s="17"/>
      <c r="AC165" s="17"/>
      <c r="AD165" s="17"/>
      <c r="AE165" s="17"/>
      <c r="AF165" s="17"/>
    </row>
    <row r="166" spans="1:32">
      <c r="A166" s="50"/>
      <c r="B166" s="2007"/>
      <c r="C166" s="1606" t="s">
        <v>304</v>
      </c>
      <c r="D166" s="1705">
        <v>7</v>
      </c>
      <c r="E166" s="1612">
        <v>15</v>
      </c>
      <c r="F166" s="1630">
        <v>1</v>
      </c>
      <c r="G166" s="354">
        <v>16.5</v>
      </c>
      <c r="H166" s="63">
        <v>20.5</v>
      </c>
      <c r="I166" s="412"/>
      <c r="J166" s="356"/>
      <c r="K166" s="323"/>
      <c r="L166" s="768"/>
      <c r="M166" s="356"/>
      <c r="N166" s="323"/>
      <c r="O166" s="768"/>
      <c r="P166" s="354">
        <v>17</v>
      </c>
      <c r="Q166" s="63">
        <v>21</v>
      </c>
      <c r="R166" s="412"/>
      <c r="S166" s="354">
        <v>11</v>
      </c>
      <c r="T166" s="63">
        <v>19</v>
      </c>
      <c r="U166" s="412">
        <v>1</v>
      </c>
      <c r="V166" s="1705">
        <v>8</v>
      </c>
      <c r="W166" s="1612">
        <v>16</v>
      </c>
      <c r="X166" s="1613">
        <v>1</v>
      </c>
      <c r="Y166" s="1715">
        <f t="shared" si="28"/>
        <v>29</v>
      </c>
      <c r="Z166" s="524"/>
      <c r="AA166" s="54"/>
      <c r="AB166" s="17"/>
      <c r="AC166" s="17"/>
      <c r="AD166" s="17"/>
      <c r="AE166" s="17"/>
      <c r="AF166" s="17"/>
    </row>
    <row r="167" spans="1:32">
      <c r="A167" s="50"/>
      <c r="B167" s="2007"/>
      <c r="C167" s="1566" t="s">
        <v>305</v>
      </c>
      <c r="D167" s="853">
        <v>7</v>
      </c>
      <c r="E167" s="854">
        <v>15</v>
      </c>
      <c r="F167" s="1013">
        <v>1</v>
      </c>
      <c r="G167" s="225"/>
      <c r="H167" s="226"/>
      <c r="I167" s="430"/>
      <c r="J167" s="316">
        <v>6</v>
      </c>
      <c r="K167" s="317">
        <v>12</v>
      </c>
      <c r="L167" s="638"/>
      <c r="M167" s="73">
        <v>16.5</v>
      </c>
      <c r="N167" s="74">
        <v>20.5</v>
      </c>
      <c r="O167" s="480"/>
      <c r="P167" s="225"/>
      <c r="Q167" s="226"/>
      <c r="R167" s="430"/>
      <c r="S167" s="316">
        <v>7</v>
      </c>
      <c r="T167" s="317">
        <v>15</v>
      </c>
      <c r="U167" s="638">
        <v>1</v>
      </c>
      <c r="V167" s="79">
        <v>13.5</v>
      </c>
      <c r="W167" s="80">
        <v>20.5</v>
      </c>
      <c r="X167" s="247">
        <v>1</v>
      </c>
      <c r="Y167" s="822">
        <f t="shared" si="28"/>
        <v>30</v>
      </c>
      <c r="Z167" s="297"/>
      <c r="AA167" s="55"/>
      <c r="AB167" s="17"/>
      <c r="AC167" s="17"/>
      <c r="AD167" s="17"/>
      <c r="AE167" s="17"/>
      <c r="AF167" s="17"/>
    </row>
    <row r="168" spans="1:32">
      <c r="A168" s="50"/>
      <c r="B168" s="2007"/>
      <c r="C168" s="1566" t="s">
        <v>306</v>
      </c>
      <c r="D168" s="990"/>
      <c r="E168" s="991"/>
      <c r="F168" s="1687"/>
      <c r="G168" s="1684"/>
      <c r="H168" s="1685"/>
      <c r="I168" s="1686"/>
      <c r="J168" s="1684"/>
      <c r="K168" s="1685"/>
      <c r="L168" s="1686"/>
      <c r="M168" s="1684"/>
      <c r="N168" s="1685"/>
      <c r="O168" s="1686"/>
      <c r="P168" s="73">
        <v>17</v>
      </c>
      <c r="Q168" s="74">
        <v>21</v>
      </c>
      <c r="R168" s="480"/>
      <c r="S168" s="1178">
        <v>16</v>
      </c>
      <c r="T168" s="1145">
        <v>24</v>
      </c>
      <c r="U168" s="1629">
        <v>1</v>
      </c>
      <c r="V168" s="79">
        <v>13.5</v>
      </c>
      <c r="W168" s="80">
        <v>20.5</v>
      </c>
      <c r="X168" s="247">
        <v>1</v>
      </c>
      <c r="Y168" s="19">
        <f t="shared" si="28"/>
        <v>17</v>
      </c>
      <c r="Z168" s="297"/>
      <c r="AA168" s="55"/>
      <c r="AB168" s="17"/>
      <c r="AC168" s="17"/>
      <c r="AD168" s="17"/>
      <c r="AE168" s="17"/>
      <c r="AF168" s="17"/>
    </row>
    <row r="169" spans="1:32">
      <c r="A169" s="50"/>
      <c r="B169" s="2007"/>
      <c r="C169" s="1566" t="s">
        <v>307</v>
      </c>
      <c r="D169" s="79">
        <v>13.5</v>
      </c>
      <c r="E169" s="80">
        <v>20.5</v>
      </c>
      <c r="F169" s="81">
        <v>1</v>
      </c>
      <c r="G169" s="424"/>
      <c r="H169" s="198"/>
      <c r="I169" s="426"/>
      <c r="J169" s="186">
        <v>16.5</v>
      </c>
      <c r="K169" s="187">
        <v>20.5</v>
      </c>
      <c r="L169" s="192"/>
      <c r="M169" s="186">
        <v>16.5</v>
      </c>
      <c r="N169" s="187">
        <v>20.5</v>
      </c>
      <c r="O169" s="192"/>
      <c r="P169" s="186">
        <v>17</v>
      </c>
      <c r="Q169" s="187">
        <v>21</v>
      </c>
      <c r="R169" s="192"/>
      <c r="S169" s="635">
        <v>7</v>
      </c>
      <c r="T169" s="636">
        <v>16</v>
      </c>
      <c r="U169" s="637">
        <v>1</v>
      </c>
      <c r="V169" s="79">
        <v>13.5</v>
      </c>
      <c r="W169" s="80">
        <v>20.5</v>
      </c>
      <c r="X169" s="247">
        <v>1</v>
      </c>
      <c r="Y169" s="764">
        <f t="shared" si="28"/>
        <v>32</v>
      </c>
      <c r="Z169" s="297"/>
      <c r="AA169" s="55"/>
      <c r="AB169" s="17"/>
      <c r="AC169" s="30"/>
      <c r="AD169" s="17"/>
      <c r="AE169" s="17"/>
      <c r="AF169" s="17"/>
    </row>
    <row r="170" spans="1:32">
      <c r="A170" s="50"/>
      <c r="B170" s="2007"/>
      <c r="C170" s="1566" t="s">
        <v>308</v>
      </c>
      <c r="D170" s="853">
        <v>7</v>
      </c>
      <c r="E170" s="854">
        <v>15</v>
      </c>
      <c r="F170" s="1013">
        <v>1</v>
      </c>
      <c r="G170" s="186">
        <v>16.5</v>
      </c>
      <c r="H170" s="187">
        <v>20.5</v>
      </c>
      <c r="I170" s="192"/>
      <c r="J170" s="424"/>
      <c r="K170" s="198"/>
      <c r="L170" s="426"/>
      <c r="M170" s="186">
        <v>15.5</v>
      </c>
      <c r="N170" s="187">
        <v>20.5</v>
      </c>
      <c r="O170" s="192"/>
      <c r="P170" s="424"/>
      <c r="Q170" s="198"/>
      <c r="R170" s="426"/>
      <c r="S170" s="186">
        <v>13</v>
      </c>
      <c r="T170" s="187">
        <v>21</v>
      </c>
      <c r="U170" s="192">
        <v>1</v>
      </c>
      <c r="V170" s="79">
        <v>14.5</v>
      </c>
      <c r="W170" s="80">
        <v>20.5</v>
      </c>
      <c r="X170" s="247">
        <v>1</v>
      </c>
      <c r="Y170" s="764">
        <f t="shared" si="28"/>
        <v>28</v>
      </c>
      <c r="Z170" s="297"/>
      <c r="AA170" s="55"/>
      <c r="AB170" s="17"/>
      <c r="AC170" s="17"/>
      <c r="AD170" s="17"/>
      <c r="AE170" s="17"/>
      <c r="AF170" s="17"/>
    </row>
    <row r="171" spans="1:32">
      <c r="A171" s="50"/>
      <c r="B171" s="2007"/>
      <c r="C171" s="1566" t="s">
        <v>309</v>
      </c>
      <c r="D171" s="79">
        <v>14.5</v>
      </c>
      <c r="E171" s="80">
        <v>20.5</v>
      </c>
      <c r="F171" s="81">
        <v>1</v>
      </c>
      <c r="G171" s="424"/>
      <c r="H171" s="198"/>
      <c r="I171" s="426"/>
      <c r="J171" s="424"/>
      <c r="K171" s="198"/>
      <c r="L171" s="426"/>
      <c r="M171" s="424"/>
      <c r="N171" s="198"/>
      <c r="O171" s="426"/>
      <c r="P171" s="635">
        <v>7</v>
      </c>
      <c r="Q171" s="636">
        <v>15</v>
      </c>
      <c r="R171" s="637">
        <v>1</v>
      </c>
      <c r="S171" s="186">
        <v>14</v>
      </c>
      <c r="T171" s="187">
        <v>21</v>
      </c>
      <c r="U171" s="192">
        <v>1</v>
      </c>
      <c r="V171" s="79">
        <v>13.5</v>
      </c>
      <c r="W171" s="80">
        <v>20.5</v>
      </c>
      <c r="X171" s="247">
        <v>1</v>
      </c>
      <c r="Y171" s="764">
        <f t="shared" si="28"/>
        <v>24</v>
      </c>
      <c r="Z171" s="297"/>
      <c r="AA171" s="55"/>
      <c r="AB171" s="17"/>
      <c r="AC171" s="17"/>
      <c r="AD171" s="17"/>
      <c r="AE171" s="17"/>
      <c r="AF171" s="17"/>
    </row>
    <row r="172" spans="1:32">
      <c r="A172" s="50"/>
      <c r="B172" s="2007"/>
      <c r="C172" s="1566" t="s">
        <v>310</v>
      </c>
      <c r="D172" s="79">
        <v>12.5</v>
      </c>
      <c r="E172" s="80">
        <v>20.5</v>
      </c>
      <c r="F172" s="81">
        <v>1</v>
      </c>
      <c r="G172" s="424"/>
      <c r="H172" s="198"/>
      <c r="I172" s="426"/>
      <c r="J172" s="424"/>
      <c r="K172" s="198"/>
      <c r="L172" s="426"/>
      <c r="M172" s="635">
        <v>7</v>
      </c>
      <c r="N172" s="636">
        <v>16</v>
      </c>
      <c r="O172" s="637">
        <v>1</v>
      </c>
      <c r="P172" s="424"/>
      <c r="Q172" s="198"/>
      <c r="R172" s="426"/>
      <c r="S172" s="186">
        <v>13</v>
      </c>
      <c r="T172" s="187">
        <v>21</v>
      </c>
      <c r="U172" s="192">
        <v>1</v>
      </c>
      <c r="V172" s="79">
        <v>12.5</v>
      </c>
      <c r="W172" s="80">
        <v>20.5</v>
      </c>
      <c r="X172" s="247">
        <v>1</v>
      </c>
      <c r="Y172" s="764">
        <f t="shared" si="28"/>
        <v>29</v>
      </c>
      <c r="Z172" s="297"/>
      <c r="AA172" s="55"/>
      <c r="AB172" s="17"/>
      <c r="AC172" s="17"/>
      <c r="AD172" s="17"/>
      <c r="AE172" s="17"/>
      <c r="AF172" s="17"/>
    </row>
    <row r="173" spans="1:32">
      <c r="A173" s="50"/>
      <c r="B173" s="2007"/>
      <c r="C173" s="1566" t="s">
        <v>311</v>
      </c>
      <c r="D173" s="79">
        <v>14.5</v>
      </c>
      <c r="E173" s="80">
        <v>20.5</v>
      </c>
      <c r="F173" s="81">
        <v>1</v>
      </c>
      <c r="G173" s="186">
        <v>16.5</v>
      </c>
      <c r="H173" s="187">
        <v>20.5</v>
      </c>
      <c r="I173" s="192"/>
      <c r="J173" s="635">
        <v>7</v>
      </c>
      <c r="K173" s="636">
        <v>12</v>
      </c>
      <c r="L173" s="637"/>
      <c r="M173" s="424"/>
      <c r="N173" s="198"/>
      <c r="O173" s="426"/>
      <c r="P173" s="186">
        <v>17</v>
      </c>
      <c r="Q173" s="187">
        <v>21</v>
      </c>
      <c r="R173" s="192"/>
      <c r="S173" s="186">
        <v>14</v>
      </c>
      <c r="T173" s="187">
        <v>21</v>
      </c>
      <c r="U173" s="192">
        <v>1</v>
      </c>
      <c r="V173" s="79">
        <v>14.5</v>
      </c>
      <c r="W173" s="80">
        <v>20.5</v>
      </c>
      <c r="X173" s="247">
        <v>1</v>
      </c>
      <c r="Y173" s="764">
        <f t="shared" si="28"/>
        <v>29</v>
      </c>
      <c r="Z173" s="297"/>
      <c r="AA173" s="55"/>
      <c r="AB173" s="17"/>
      <c r="AC173" s="17"/>
      <c r="AD173" s="17"/>
      <c r="AE173" s="17"/>
      <c r="AF173" s="17"/>
    </row>
    <row r="174" spans="1:32">
      <c r="A174" s="50"/>
      <c r="B174" s="2007"/>
      <c r="C174" s="1566" t="s">
        <v>312</v>
      </c>
      <c r="D174" s="853">
        <v>7</v>
      </c>
      <c r="E174" s="854">
        <v>15</v>
      </c>
      <c r="F174" s="1013">
        <v>1</v>
      </c>
      <c r="G174" s="186">
        <v>15.5</v>
      </c>
      <c r="H174" s="187">
        <v>20.5</v>
      </c>
      <c r="I174" s="192"/>
      <c r="J174" s="424"/>
      <c r="K174" s="198"/>
      <c r="L174" s="426"/>
      <c r="M174" s="186">
        <v>15.5</v>
      </c>
      <c r="N174" s="187">
        <v>20.5</v>
      </c>
      <c r="O174" s="192"/>
      <c r="P174" s="424"/>
      <c r="Q174" s="198"/>
      <c r="R174" s="426"/>
      <c r="S174" s="186">
        <v>14</v>
      </c>
      <c r="T174" s="187">
        <v>21</v>
      </c>
      <c r="U174" s="192">
        <v>1</v>
      </c>
      <c r="V174" s="79">
        <v>13.5</v>
      </c>
      <c r="W174" s="80">
        <v>20.5</v>
      </c>
      <c r="X174" s="247">
        <v>1</v>
      </c>
      <c r="Y174" s="764">
        <f t="shared" si="28"/>
        <v>29</v>
      </c>
      <c r="Z174" s="297"/>
      <c r="AA174" s="55"/>
      <c r="AB174" s="17"/>
      <c r="AC174" s="17"/>
      <c r="AD174" s="17"/>
      <c r="AE174" s="17"/>
      <c r="AF174" s="17"/>
    </row>
    <row r="175" spans="1:32">
      <c r="A175" s="50"/>
      <c r="B175" s="2007"/>
      <c r="C175" s="1566" t="s">
        <v>314</v>
      </c>
      <c r="D175" s="79">
        <v>12.5</v>
      </c>
      <c r="E175" s="80">
        <v>20.5</v>
      </c>
      <c r="F175" s="81">
        <v>1</v>
      </c>
      <c r="G175" s="424"/>
      <c r="H175" s="198"/>
      <c r="I175" s="426"/>
      <c r="J175" s="186">
        <v>16.5</v>
      </c>
      <c r="K175" s="187">
        <v>20.5</v>
      </c>
      <c r="L175" s="192"/>
      <c r="M175" s="424"/>
      <c r="N175" s="198"/>
      <c r="O175" s="426"/>
      <c r="P175" s="186">
        <v>17</v>
      </c>
      <c r="Q175" s="187">
        <v>21</v>
      </c>
      <c r="R175" s="192"/>
      <c r="S175" s="186">
        <v>14</v>
      </c>
      <c r="T175" s="187">
        <v>21</v>
      </c>
      <c r="U175" s="192">
        <v>1</v>
      </c>
      <c r="V175" s="853">
        <v>8</v>
      </c>
      <c r="W175" s="854">
        <v>16</v>
      </c>
      <c r="X175" s="855">
        <v>1</v>
      </c>
      <c r="Y175" s="764">
        <f t="shared" si="28"/>
        <v>28</v>
      </c>
      <c r="Z175" s="297"/>
      <c r="AA175" s="55"/>
      <c r="AB175" s="17"/>
      <c r="AC175" s="17"/>
      <c r="AD175" s="17"/>
      <c r="AE175" s="17"/>
      <c r="AF175" s="17"/>
    </row>
    <row r="176" spans="1:32">
      <c r="A176" s="50"/>
      <c r="B176" s="2311"/>
      <c r="C176" s="1563" t="s">
        <v>315</v>
      </c>
      <c r="D176" s="330">
        <v>13.5</v>
      </c>
      <c r="E176" s="331">
        <v>20.5</v>
      </c>
      <c r="F176" s="655">
        <v>1</v>
      </c>
      <c r="G176" s="936"/>
      <c r="H176" s="937"/>
      <c r="I176" s="1120"/>
      <c r="J176" s="936"/>
      <c r="K176" s="937"/>
      <c r="L176" s="1120"/>
      <c r="M176" s="936"/>
      <c r="N176" s="937"/>
      <c r="O176" s="1120"/>
      <c r="P176" s="936"/>
      <c r="Q176" s="937"/>
      <c r="R176" s="1120"/>
      <c r="S176" s="936"/>
      <c r="T176" s="937"/>
      <c r="U176" s="1120"/>
      <c r="V176" s="330">
        <v>14.5</v>
      </c>
      <c r="W176" s="331">
        <v>20.5</v>
      </c>
      <c r="X176" s="332">
        <v>1</v>
      </c>
      <c r="Y176" s="764">
        <f t="shared" si="28"/>
        <v>11</v>
      </c>
      <c r="Z176" s="297"/>
      <c r="AA176" s="55"/>
      <c r="AB176" s="17"/>
      <c r="AC176" s="17"/>
      <c r="AD176" s="17"/>
      <c r="AE176" s="17"/>
      <c r="AF176" s="17"/>
    </row>
    <row r="177" spans="1:32" ht="15" customHeight="1">
      <c r="A177" s="50"/>
      <c r="B177" s="1789" t="s">
        <v>316</v>
      </c>
      <c r="C177" s="1606" t="s">
        <v>317</v>
      </c>
      <c r="D177" s="244">
        <v>13.5</v>
      </c>
      <c r="E177" s="237">
        <v>20.5</v>
      </c>
      <c r="F177" s="546">
        <v>1</v>
      </c>
      <c r="G177" s="586"/>
      <c r="H177" s="570"/>
      <c r="I177" s="890"/>
      <c r="J177" s="292">
        <v>16.5</v>
      </c>
      <c r="K177" s="293">
        <v>20.5</v>
      </c>
      <c r="L177" s="530"/>
      <c r="M177" s="632">
        <v>7</v>
      </c>
      <c r="N177" s="633">
        <v>12</v>
      </c>
      <c r="O177" s="634"/>
      <c r="P177" s="292">
        <v>17</v>
      </c>
      <c r="Q177" s="293">
        <v>21</v>
      </c>
      <c r="R177" s="530"/>
      <c r="S177" s="292">
        <v>15</v>
      </c>
      <c r="T177" s="293">
        <v>21</v>
      </c>
      <c r="U177" s="530">
        <v>1</v>
      </c>
      <c r="V177" s="244">
        <v>14.5</v>
      </c>
      <c r="W177" s="237">
        <v>20.5</v>
      </c>
      <c r="X177" s="245">
        <v>1</v>
      </c>
      <c r="Y177" s="764">
        <f t="shared" si="28"/>
        <v>29</v>
      </c>
      <c r="Z177" s="297"/>
      <c r="AA177" s="55"/>
      <c r="AB177" s="17"/>
      <c r="AC177" s="17"/>
      <c r="AD177" s="17"/>
      <c r="AE177" s="17"/>
      <c r="AF177" s="17"/>
    </row>
    <row r="178" spans="1:32">
      <c r="A178" s="50"/>
      <c r="B178" s="2311"/>
      <c r="C178" s="1563" t="s">
        <v>318</v>
      </c>
      <c r="D178" s="330">
        <v>12.5</v>
      </c>
      <c r="E178" s="331">
        <v>20.5</v>
      </c>
      <c r="F178" s="655">
        <v>1</v>
      </c>
      <c r="G178" s="936"/>
      <c r="H178" s="937"/>
      <c r="I178" s="1120"/>
      <c r="J178" s="606">
        <v>12.5</v>
      </c>
      <c r="K178" s="607">
        <v>20.5</v>
      </c>
      <c r="L178" s="608">
        <v>1</v>
      </c>
      <c r="M178" s="193"/>
      <c r="N178" s="194"/>
      <c r="O178" s="1525"/>
      <c r="P178" s="193"/>
      <c r="Q178" s="194"/>
      <c r="R178" s="1525"/>
      <c r="S178" s="407">
        <v>15</v>
      </c>
      <c r="T178" s="196">
        <v>21</v>
      </c>
      <c r="U178" s="310">
        <v>1</v>
      </c>
      <c r="V178" s="91">
        <v>13.5</v>
      </c>
      <c r="W178" s="92">
        <v>20.5</v>
      </c>
      <c r="X178" s="118">
        <v>1</v>
      </c>
      <c r="Y178" s="764">
        <f t="shared" si="28"/>
        <v>25</v>
      </c>
      <c r="Z178" s="298"/>
      <c r="AA178" s="269"/>
      <c r="AB178" s="50"/>
    </row>
    <row r="179" spans="1:32">
      <c r="A179" s="50"/>
      <c r="B179" s="32"/>
      <c r="C179" s="295"/>
      <c r="D179" s="1836">
        <f>COUNT(D147:D178)</f>
        <v>24</v>
      </c>
      <c r="E179" s="1837"/>
      <c r="F179" s="1838"/>
      <c r="G179" s="1836">
        <f t="shared" ref="G179" si="29">COUNT(G147:G178)</f>
        <v>20</v>
      </c>
      <c r="H179" s="1837"/>
      <c r="I179" s="1838"/>
      <c r="J179" s="1836">
        <f t="shared" ref="J179" si="30">COUNT(J147:J178)</f>
        <v>19</v>
      </c>
      <c r="K179" s="1837"/>
      <c r="L179" s="1838"/>
      <c r="M179" s="1836">
        <f t="shared" ref="M179" si="31">COUNT(M147:M178)</f>
        <v>19</v>
      </c>
      <c r="N179" s="1837"/>
      <c r="O179" s="1838"/>
      <c r="P179" s="1836">
        <f t="shared" ref="P179" si="32">COUNT(P147:P178)</f>
        <v>20</v>
      </c>
      <c r="Q179" s="1837"/>
      <c r="R179" s="1838"/>
      <c r="S179" s="1836">
        <f t="shared" ref="S179" si="33">COUNT(S147:S178)</f>
        <v>31</v>
      </c>
      <c r="T179" s="1837"/>
      <c r="U179" s="1837"/>
      <c r="V179" s="1836">
        <f t="shared" ref="V179" si="34">COUNT(V147:V178)</f>
        <v>23</v>
      </c>
      <c r="W179" s="1837"/>
      <c r="X179" s="1838"/>
      <c r="Y179" s="1932"/>
      <c r="Z179" s="1932"/>
      <c r="AA179" s="1932"/>
      <c r="AB179" s="50"/>
    </row>
    <row r="180" spans="1:32">
      <c r="A180" s="50"/>
      <c r="B180" s="336"/>
      <c r="C180" s="295"/>
      <c r="D180" s="183"/>
      <c r="E180" s="183"/>
      <c r="F180" s="183"/>
      <c r="G180" s="182"/>
      <c r="H180" s="182"/>
      <c r="I180" s="182"/>
      <c r="J180" s="1527"/>
      <c r="K180" s="1527"/>
      <c r="L180" s="1527"/>
      <c r="M180" s="182"/>
      <c r="N180" s="182"/>
      <c r="O180" s="182"/>
      <c r="P180" s="1527"/>
      <c r="Q180" s="1527"/>
      <c r="R180" s="1527"/>
      <c r="S180" s="182"/>
      <c r="T180" s="182"/>
      <c r="U180" s="182"/>
      <c r="V180" s="183"/>
      <c r="W180" s="183"/>
      <c r="X180" s="183"/>
      <c r="Y180" s="182"/>
      <c r="Z180" s="182"/>
      <c r="AA180" s="295"/>
      <c r="AB180" s="50"/>
    </row>
    <row r="181" spans="1:32">
      <c r="A181" s="50"/>
      <c r="B181" s="336"/>
      <c r="C181" s="295"/>
      <c r="D181" s="183"/>
      <c r="E181" s="183" t="s">
        <v>69</v>
      </c>
      <c r="F181" s="183"/>
      <c r="G181" s="1527"/>
      <c r="H181" s="1527"/>
      <c r="I181" s="1527"/>
      <c r="J181" s="1527"/>
      <c r="K181" s="1527"/>
      <c r="L181" s="1527"/>
      <c r="M181" s="182"/>
      <c r="N181" s="182"/>
      <c r="O181" s="182"/>
      <c r="P181" s="1527"/>
      <c r="Q181" s="1527"/>
      <c r="R181" s="1527"/>
      <c r="S181" s="182"/>
      <c r="T181" s="182"/>
      <c r="U181" s="182"/>
      <c r="V181" s="183"/>
      <c r="W181" s="183"/>
      <c r="X181" s="183"/>
      <c r="Y181" s="182"/>
      <c r="Z181" s="182"/>
      <c r="AA181" s="295"/>
      <c r="AB181" s="50"/>
    </row>
    <row r="182" spans="1:32">
      <c r="A182" s="50"/>
      <c r="B182" s="336"/>
      <c r="C182" s="295"/>
      <c r="D182" s="2349" t="s">
        <v>364</v>
      </c>
      <c r="E182" s="2350"/>
      <c r="F182" s="2351"/>
      <c r="G182" s="1527"/>
      <c r="H182" s="1527"/>
      <c r="I182" s="1527"/>
      <c r="J182" s="1527"/>
      <c r="K182" s="1527"/>
      <c r="L182" s="1527"/>
      <c r="M182" s="1527"/>
      <c r="N182" s="1527"/>
      <c r="O182" s="1527"/>
      <c r="P182" s="2349" t="s">
        <v>364</v>
      </c>
      <c r="Q182" s="2350"/>
      <c r="R182" s="2351"/>
      <c r="S182" s="1527"/>
      <c r="T182" s="1527"/>
      <c r="U182" s="1527"/>
      <c r="V182" s="183"/>
      <c r="W182" s="183"/>
      <c r="X182" s="183"/>
      <c r="Y182" s="182"/>
      <c r="Z182" s="182"/>
      <c r="AA182" s="295"/>
      <c r="AB182" s="50"/>
    </row>
    <row r="183" spans="1:32" ht="15" customHeight="1">
      <c r="A183" s="50"/>
      <c r="B183" s="2312" t="s">
        <v>275</v>
      </c>
      <c r="C183" s="2313"/>
      <c r="D183" s="2345" t="s">
        <v>365</v>
      </c>
      <c r="E183" s="2345"/>
      <c r="F183" s="2346"/>
      <c r="G183" s="1955"/>
      <c r="H183" s="1955"/>
      <c r="I183" s="1956"/>
      <c r="J183" s="1954"/>
      <c r="K183" s="1955"/>
      <c r="L183" s="1956"/>
      <c r="M183" s="1954"/>
      <c r="N183" s="1955"/>
      <c r="O183" s="1956"/>
      <c r="P183" s="2050"/>
      <c r="Q183" s="2014"/>
      <c r="R183" s="2103"/>
      <c r="S183" s="1954"/>
      <c r="T183" s="1955"/>
      <c r="U183" s="1956"/>
      <c r="V183" s="1954"/>
      <c r="W183" s="1955"/>
      <c r="X183" s="1956"/>
      <c r="Y183" s="50"/>
      <c r="Z183" s="50"/>
      <c r="AA183" s="47"/>
      <c r="AB183" s="50"/>
    </row>
    <row r="184" spans="1:32" ht="15" customHeight="1">
      <c r="A184" s="50"/>
      <c r="B184" s="2314"/>
      <c r="C184" s="2323"/>
      <c r="D184" s="2347"/>
      <c r="E184" s="2347"/>
      <c r="F184" s="2348"/>
      <c r="G184" s="2052"/>
      <c r="H184" s="2052"/>
      <c r="I184" s="2053"/>
      <c r="J184" s="2051"/>
      <c r="K184" s="2052"/>
      <c r="L184" s="2053"/>
      <c r="M184" s="2051"/>
      <c r="N184" s="2052"/>
      <c r="O184" s="2053"/>
      <c r="P184" s="2051"/>
      <c r="Q184" s="2052"/>
      <c r="R184" s="2053"/>
      <c r="S184" s="2051"/>
      <c r="T184" s="2052"/>
      <c r="U184" s="2053"/>
      <c r="V184" s="2051"/>
      <c r="W184" s="2052"/>
      <c r="X184" s="2053"/>
      <c r="Y184" s="17"/>
      <c r="Z184" s="17"/>
      <c r="AA184" s="17"/>
      <c r="AB184" s="50"/>
    </row>
    <row r="185" spans="1:32">
      <c r="A185" s="50"/>
      <c r="B185" s="822" t="s">
        <v>1</v>
      </c>
      <c r="C185" s="822" t="s">
        <v>2</v>
      </c>
      <c r="D185" s="2293" t="s">
        <v>366</v>
      </c>
      <c r="E185" s="2285"/>
      <c r="F185" s="2294"/>
      <c r="G185" s="1913" t="s">
        <v>367</v>
      </c>
      <c r="H185" s="1950"/>
      <c r="I185" s="2037"/>
      <c r="J185" s="1913" t="s">
        <v>368</v>
      </c>
      <c r="K185" s="1950"/>
      <c r="L185" s="2037"/>
      <c r="M185" s="1931" t="s">
        <v>369</v>
      </c>
      <c r="N185" s="1932"/>
      <c r="O185" s="2138"/>
      <c r="P185" s="2295" t="s">
        <v>370</v>
      </c>
      <c r="Q185" s="2296"/>
      <c r="R185" s="2297"/>
      <c r="S185" s="2088"/>
      <c r="T185" s="2089"/>
      <c r="U185" s="2090"/>
      <c r="V185" s="2289"/>
      <c r="W185" s="2290"/>
      <c r="X185" s="2291"/>
      <c r="Y185" s="19" t="s">
        <v>5</v>
      </c>
      <c r="Z185" s="18" t="s">
        <v>6</v>
      </c>
      <c r="AA185" s="20" t="s">
        <v>7</v>
      </c>
      <c r="AB185" s="50"/>
    </row>
    <row r="186" spans="1:32">
      <c r="A186" s="50"/>
      <c r="B186" s="924" t="s">
        <v>8</v>
      </c>
      <c r="C186" s="1447" t="s">
        <v>277</v>
      </c>
      <c r="D186" s="1737">
        <v>11.5</v>
      </c>
      <c r="E186" s="1738">
        <v>20.5</v>
      </c>
      <c r="F186" s="1739">
        <v>1</v>
      </c>
      <c r="G186" s="907">
        <v>10.5</v>
      </c>
      <c r="H186" s="571">
        <v>20.5</v>
      </c>
      <c r="I186" s="587">
        <v>1</v>
      </c>
      <c r="J186" s="907">
        <v>10.5</v>
      </c>
      <c r="K186" s="571">
        <v>20.5</v>
      </c>
      <c r="L186" s="587">
        <v>1</v>
      </c>
      <c r="M186" s="907">
        <v>11.5</v>
      </c>
      <c r="N186" s="571">
        <v>20.5</v>
      </c>
      <c r="O186" s="587">
        <v>1</v>
      </c>
      <c r="P186" s="648">
        <v>7</v>
      </c>
      <c r="Q186" s="649">
        <v>16</v>
      </c>
      <c r="R186" s="650">
        <v>1</v>
      </c>
      <c r="S186" s="1744"/>
      <c r="T186" s="1745"/>
      <c r="U186" s="1746"/>
      <c r="V186" s="1665"/>
      <c r="W186" s="1666"/>
      <c r="X186" s="1724"/>
      <c r="Y186" s="1">
        <f>SUM(E186-D186-F186+H186-G186-I186+K186-J186-L186+N186-M186-O186+Q186-P186-R186+T186-S186-U186+W186-V186-X186)</f>
        <v>42</v>
      </c>
      <c r="Z186" s="20"/>
      <c r="AA186" s="826"/>
      <c r="AB186" s="50"/>
    </row>
    <row r="187" spans="1:32">
      <c r="B187" s="2316"/>
      <c r="C187" s="1747" t="s">
        <v>279</v>
      </c>
      <c r="D187" s="292">
        <v>11.5</v>
      </c>
      <c r="E187" s="293">
        <v>20.5</v>
      </c>
      <c r="F187" s="294">
        <v>1</v>
      </c>
      <c r="G187" s="292">
        <v>11.5</v>
      </c>
      <c r="H187" s="293">
        <v>20.5</v>
      </c>
      <c r="I187" s="294">
        <v>1</v>
      </c>
      <c r="J187" s="586"/>
      <c r="K187" s="570"/>
      <c r="L187" s="592"/>
      <c r="M187" s="586"/>
      <c r="N187" s="570"/>
      <c r="O187" s="592"/>
      <c r="P187" s="292">
        <v>11.5</v>
      </c>
      <c r="Q187" s="293">
        <v>20.5</v>
      </c>
      <c r="R187" s="530">
        <v>1</v>
      </c>
      <c r="S187" s="1743"/>
      <c r="T187" s="1401"/>
      <c r="U187" s="1402"/>
      <c r="V187" s="1740"/>
      <c r="W187" s="1741"/>
      <c r="X187" s="1742"/>
      <c r="Y187" s="822">
        <f t="shared" ref="Y187:Y218" si="35">SUM(E187-D187-F187+H187-G187-I187+K187-J187-L187+N187-M187-O187+Q187-P187-R187+T187-S187-U187+W187-V187-X187)</f>
        <v>24</v>
      </c>
      <c r="Z187" s="525"/>
      <c r="AA187" s="56"/>
    </row>
    <row r="188" spans="1:32">
      <c r="B188" s="2316"/>
      <c r="C188" s="1234" t="s">
        <v>281</v>
      </c>
      <c r="D188" s="606"/>
      <c r="E188" s="607"/>
      <c r="F188" s="905"/>
      <c r="G188" s="606">
        <v>11.5</v>
      </c>
      <c r="H188" s="607">
        <v>20.5</v>
      </c>
      <c r="I188" s="905">
        <v>1</v>
      </c>
      <c r="J188" s="606"/>
      <c r="K188" s="607"/>
      <c r="L188" s="905"/>
      <c r="M188" s="847">
        <v>7</v>
      </c>
      <c r="N188" s="848">
        <v>16</v>
      </c>
      <c r="O188" s="1016">
        <v>1</v>
      </c>
      <c r="P188" s="606">
        <v>10.5</v>
      </c>
      <c r="Q188" s="607">
        <v>20.5</v>
      </c>
      <c r="R188" s="608">
        <v>1</v>
      </c>
      <c r="S188" s="1532"/>
      <c r="T188" s="325"/>
      <c r="U188" s="372"/>
      <c r="V188" s="168"/>
      <c r="W188" s="169"/>
      <c r="X188" s="315"/>
      <c r="Y188" s="19">
        <f t="shared" si="35"/>
        <v>25</v>
      </c>
      <c r="Z188" s="524"/>
      <c r="AA188" s="54"/>
    </row>
    <row r="189" spans="1:32">
      <c r="A189" s="50"/>
      <c r="B189" s="1952" t="s">
        <v>52</v>
      </c>
      <c r="C189" s="1557" t="s">
        <v>282</v>
      </c>
      <c r="D189" s="1204">
        <v>11.5</v>
      </c>
      <c r="E189" s="1092">
        <v>20.5</v>
      </c>
      <c r="F189" s="1094">
        <v>1</v>
      </c>
      <c r="G189" s="1085"/>
      <c r="H189" s="325"/>
      <c r="I189" s="870"/>
      <c r="J189" s="1091">
        <v>10.5</v>
      </c>
      <c r="K189" s="1092">
        <v>20.5</v>
      </c>
      <c r="L189" s="1094">
        <v>1</v>
      </c>
      <c r="M189" s="1091">
        <v>11.5</v>
      </c>
      <c r="N189" s="1092">
        <v>20.5</v>
      </c>
      <c r="O189" s="1094">
        <v>1</v>
      </c>
      <c r="P189" s="1085"/>
      <c r="Q189" s="325"/>
      <c r="R189" s="870"/>
      <c r="S189" s="186"/>
      <c r="T189" s="187"/>
      <c r="U189" s="192"/>
      <c r="V189" s="79"/>
      <c r="W189" s="80"/>
      <c r="X189" s="247"/>
      <c r="Y189" s="19">
        <f t="shared" si="35"/>
        <v>25</v>
      </c>
      <c r="Z189" s="297"/>
      <c r="AA189" s="55"/>
    </row>
    <row r="190" spans="1:32">
      <c r="A190" s="50"/>
      <c r="B190" s="2006"/>
      <c r="C190" s="1590" t="s">
        <v>283</v>
      </c>
      <c r="D190" s="309">
        <v>10.5</v>
      </c>
      <c r="E190" s="196">
        <v>20.5</v>
      </c>
      <c r="F190" s="408">
        <v>1</v>
      </c>
      <c r="G190" s="847">
        <v>7</v>
      </c>
      <c r="H190" s="848">
        <v>16</v>
      </c>
      <c r="I190" s="1016">
        <v>1</v>
      </c>
      <c r="J190" s="936"/>
      <c r="K190" s="937"/>
      <c r="L190" s="938"/>
      <c r="M190" s="606">
        <v>10.5</v>
      </c>
      <c r="N190" s="607">
        <v>20.5</v>
      </c>
      <c r="O190" s="905">
        <v>1</v>
      </c>
      <c r="P190" s="606">
        <v>10.5</v>
      </c>
      <c r="Q190" s="607">
        <v>20.5</v>
      </c>
      <c r="R190" s="905">
        <v>1</v>
      </c>
      <c r="S190" s="606"/>
      <c r="T190" s="607"/>
      <c r="U190" s="608"/>
      <c r="V190" s="330"/>
      <c r="W190" s="331"/>
      <c r="X190" s="332"/>
      <c r="Y190" s="19">
        <f t="shared" si="35"/>
        <v>35</v>
      </c>
      <c r="Z190" s="298"/>
      <c r="AA190" s="269"/>
    </row>
    <row r="191" spans="1:32">
      <c r="A191" s="50"/>
      <c r="B191" s="2006"/>
      <c r="C191" s="1557" t="s">
        <v>287</v>
      </c>
      <c r="D191" s="586"/>
      <c r="E191" s="570"/>
      <c r="F191" s="890"/>
      <c r="G191" s="292">
        <v>10.5</v>
      </c>
      <c r="H191" s="293">
        <v>20.5</v>
      </c>
      <c r="I191" s="530">
        <v>1</v>
      </c>
      <c r="J191" s="292">
        <v>11.5</v>
      </c>
      <c r="K191" s="293">
        <v>20.5</v>
      </c>
      <c r="L191" s="530">
        <v>1</v>
      </c>
      <c r="M191" s="586"/>
      <c r="N191" s="570"/>
      <c r="O191" s="890"/>
      <c r="P191" s="632">
        <v>7</v>
      </c>
      <c r="Q191" s="633">
        <v>16</v>
      </c>
      <c r="R191" s="634">
        <v>1</v>
      </c>
      <c r="S191" s="292"/>
      <c r="T191" s="293"/>
      <c r="U191" s="530"/>
      <c r="V191" s="292"/>
      <c r="W191" s="293"/>
      <c r="X191" s="530"/>
      <c r="Y191" s="19">
        <f t="shared" si="35"/>
        <v>25</v>
      </c>
      <c r="Z191" s="1546"/>
      <c r="AA191" s="1547"/>
    </row>
    <row r="192" spans="1:32">
      <c r="A192" s="50"/>
      <c r="B192" s="1953"/>
      <c r="C192" s="1625" t="s">
        <v>288</v>
      </c>
      <c r="D192" s="186">
        <v>12.5</v>
      </c>
      <c r="E192" s="187">
        <v>20.5</v>
      </c>
      <c r="F192" s="192">
        <v>1</v>
      </c>
      <c r="G192" s="424"/>
      <c r="H192" s="198"/>
      <c r="I192" s="426"/>
      <c r="J192" s="635">
        <v>8</v>
      </c>
      <c r="K192" s="636">
        <v>16</v>
      </c>
      <c r="L192" s="637">
        <v>1</v>
      </c>
      <c r="M192" s="186">
        <v>12.5</v>
      </c>
      <c r="N192" s="187">
        <v>20.5</v>
      </c>
      <c r="O192" s="192">
        <v>1</v>
      </c>
      <c r="P192" s="186">
        <v>11.5</v>
      </c>
      <c r="Q192" s="187">
        <v>20.5</v>
      </c>
      <c r="R192" s="192">
        <v>1</v>
      </c>
      <c r="S192" s="186"/>
      <c r="T192" s="187"/>
      <c r="U192" s="192"/>
      <c r="V192" s="186"/>
      <c r="W192" s="187"/>
      <c r="X192" s="192"/>
      <c r="Y192" s="19">
        <f t="shared" si="35"/>
        <v>29</v>
      </c>
      <c r="Z192" s="525"/>
      <c r="AA192" s="56"/>
    </row>
    <row r="193" spans="2:27">
      <c r="B193" s="1831" t="s">
        <v>171</v>
      </c>
      <c r="C193" s="1605" t="s">
        <v>289</v>
      </c>
      <c r="D193" s="424"/>
      <c r="E193" s="198"/>
      <c r="F193" s="426"/>
      <c r="G193" s="186">
        <v>11.5</v>
      </c>
      <c r="H193" s="187">
        <v>20.5</v>
      </c>
      <c r="I193" s="192">
        <v>1</v>
      </c>
      <c r="J193" s="424"/>
      <c r="K193" s="198"/>
      <c r="L193" s="426"/>
      <c r="M193" s="186">
        <v>11.5</v>
      </c>
      <c r="N193" s="187">
        <v>20.5</v>
      </c>
      <c r="O193" s="192">
        <v>1</v>
      </c>
      <c r="P193" s="186">
        <v>10.5</v>
      </c>
      <c r="Q193" s="187">
        <v>20.5</v>
      </c>
      <c r="R193" s="192">
        <v>1</v>
      </c>
      <c r="S193" s="186"/>
      <c r="T193" s="187"/>
      <c r="U193" s="192"/>
      <c r="V193" s="186"/>
      <c r="W193" s="187"/>
      <c r="X193" s="192"/>
      <c r="Y193" s="19">
        <f t="shared" si="35"/>
        <v>25</v>
      </c>
      <c r="Z193" s="365"/>
      <c r="AA193" s="368"/>
    </row>
    <row r="194" spans="2:27">
      <c r="B194" s="1831"/>
      <c r="C194" s="1565" t="s">
        <v>290</v>
      </c>
      <c r="D194" s="424"/>
      <c r="E194" s="198"/>
      <c r="F194" s="426"/>
      <c r="G194" s="186">
        <v>10.5</v>
      </c>
      <c r="H194" s="187">
        <v>20.5</v>
      </c>
      <c r="I194" s="192">
        <v>1</v>
      </c>
      <c r="J194" s="186">
        <v>11.5</v>
      </c>
      <c r="K194" s="187">
        <v>20.5</v>
      </c>
      <c r="L194" s="192">
        <v>1</v>
      </c>
      <c r="M194" s="635">
        <v>7</v>
      </c>
      <c r="N194" s="636">
        <v>16</v>
      </c>
      <c r="O194" s="637">
        <v>1</v>
      </c>
      <c r="P194" s="186">
        <v>10.5</v>
      </c>
      <c r="Q194" s="187">
        <v>20.5</v>
      </c>
      <c r="R194" s="192">
        <v>1</v>
      </c>
      <c r="S194" s="186"/>
      <c r="T194" s="187"/>
      <c r="U194" s="192"/>
      <c r="V194" s="424"/>
      <c r="W194" s="198"/>
      <c r="X194" s="426"/>
      <c r="Y194" s="19">
        <f t="shared" si="35"/>
        <v>34</v>
      </c>
      <c r="Z194" s="362"/>
      <c r="AA194" s="6"/>
    </row>
    <row r="195" spans="2:27">
      <c r="B195" s="1831"/>
      <c r="C195" s="1565" t="s">
        <v>291</v>
      </c>
      <c r="D195" s="186">
        <v>10.5</v>
      </c>
      <c r="E195" s="187">
        <v>20.5</v>
      </c>
      <c r="F195" s="192">
        <v>1</v>
      </c>
      <c r="G195" s="424"/>
      <c r="H195" s="198"/>
      <c r="I195" s="426"/>
      <c r="J195" s="186">
        <v>11.5</v>
      </c>
      <c r="K195" s="187">
        <v>20.5</v>
      </c>
      <c r="L195" s="192">
        <v>1</v>
      </c>
      <c r="M195" s="424"/>
      <c r="N195" s="198"/>
      <c r="O195" s="426"/>
      <c r="P195" s="186">
        <v>10.5</v>
      </c>
      <c r="Q195" s="187">
        <v>20.5</v>
      </c>
      <c r="R195" s="192">
        <v>1</v>
      </c>
      <c r="S195" s="186"/>
      <c r="T195" s="187"/>
      <c r="U195" s="192"/>
      <c r="V195" s="186"/>
      <c r="W195" s="187"/>
      <c r="X195" s="192"/>
      <c r="Y195" s="19">
        <f t="shared" si="35"/>
        <v>26</v>
      </c>
      <c r="Z195" s="362"/>
      <c r="AA195" s="6"/>
    </row>
    <row r="196" spans="2:27">
      <c r="B196" s="1831"/>
      <c r="C196" s="1565" t="s">
        <v>292</v>
      </c>
      <c r="D196" s="186">
        <v>11.5</v>
      </c>
      <c r="E196" s="187">
        <v>20.5</v>
      </c>
      <c r="F196" s="192">
        <v>1</v>
      </c>
      <c r="G196" s="186">
        <v>10.5</v>
      </c>
      <c r="H196" s="187">
        <v>20.5</v>
      </c>
      <c r="I196" s="192">
        <v>1</v>
      </c>
      <c r="J196" s="424"/>
      <c r="K196" s="198"/>
      <c r="L196" s="426"/>
      <c r="M196" s="635">
        <v>7</v>
      </c>
      <c r="N196" s="636">
        <v>16</v>
      </c>
      <c r="O196" s="637">
        <v>1</v>
      </c>
      <c r="P196" s="424"/>
      <c r="Q196" s="198"/>
      <c r="R196" s="426"/>
      <c r="S196" s="186"/>
      <c r="T196" s="187"/>
      <c r="U196" s="192"/>
      <c r="V196" s="186"/>
      <c r="W196" s="187"/>
      <c r="X196" s="192"/>
      <c r="Y196" s="19">
        <f t="shared" si="35"/>
        <v>25</v>
      </c>
      <c r="Z196" s="362"/>
      <c r="AA196" s="6"/>
    </row>
    <row r="197" spans="2:27">
      <c r="B197" s="1831"/>
      <c r="C197" s="1565" t="s">
        <v>293</v>
      </c>
      <c r="D197" s="424"/>
      <c r="E197" s="198"/>
      <c r="F197" s="426"/>
      <c r="G197" s="635">
        <v>7</v>
      </c>
      <c r="H197" s="636">
        <v>16</v>
      </c>
      <c r="I197" s="637">
        <v>1</v>
      </c>
      <c r="J197" s="186">
        <v>10.5</v>
      </c>
      <c r="K197" s="187">
        <v>20.5</v>
      </c>
      <c r="L197" s="192">
        <v>1</v>
      </c>
      <c r="M197" s="186">
        <v>11.5</v>
      </c>
      <c r="N197" s="187">
        <v>20.5</v>
      </c>
      <c r="O197" s="192">
        <v>1</v>
      </c>
      <c r="P197" s="186">
        <v>10.5</v>
      </c>
      <c r="Q197" s="187">
        <v>20.5</v>
      </c>
      <c r="R197" s="192">
        <v>1</v>
      </c>
      <c r="S197" s="186"/>
      <c r="T197" s="187"/>
      <c r="U197" s="192"/>
      <c r="V197" s="186"/>
      <c r="W197" s="187"/>
      <c r="X197" s="192"/>
      <c r="Y197" s="19">
        <f t="shared" si="35"/>
        <v>34</v>
      </c>
      <c r="Z197" s="362"/>
      <c r="AA197" s="6"/>
    </row>
    <row r="198" spans="2:27">
      <c r="B198" s="1831"/>
      <c r="C198" s="1565" t="s">
        <v>295</v>
      </c>
      <c r="D198" s="635">
        <v>7</v>
      </c>
      <c r="E198" s="636">
        <v>16</v>
      </c>
      <c r="F198" s="637">
        <v>1</v>
      </c>
      <c r="G198" s="424"/>
      <c r="H198" s="198"/>
      <c r="I198" s="426"/>
      <c r="J198" s="186">
        <v>11.5</v>
      </c>
      <c r="K198" s="187">
        <v>20.5</v>
      </c>
      <c r="L198" s="192">
        <v>1</v>
      </c>
      <c r="M198" s="424"/>
      <c r="N198" s="198"/>
      <c r="O198" s="426"/>
      <c r="P198" s="186">
        <v>10.5</v>
      </c>
      <c r="Q198" s="187">
        <v>20.5</v>
      </c>
      <c r="R198" s="192">
        <v>1</v>
      </c>
      <c r="S198" s="186"/>
      <c r="T198" s="187"/>
      <c r="U198" s="192"/>
      <c r="V198" s="186"/>
      <c r="W198" s="187"/>
      <c r="X198" s="192"/>
      <c r="Y198" s="19">
        <f t="shared" si="35"/>
        <v>25</v>
      </c>
      <c r="Z198" s="364"/>
      <c r="AA198" s="14"/>
    </row>
    <row r="199" spans="2:27">
      <c r="B199" s="1831"/>
      <c r="C199" s="1565" t="s">
        <v>296</v>
      </c>
      <c r="D199" s="186">
        <v>11.5</v>
      </c>
      <c r="E199" s="187">
        <v>20.5</v>
      </c>
      <c r="F199" s="192">
        <v>1</v>
      </c>
      <c r="G199" s="635">
        <v>7</v>
      </c>
      <c r="H199" s="636">
        <v>16</v>
      </c>
      <c r="I199" s="637">
        <v>1</v>
      </c>
      <c r="J199" s="424"/>
      <c r="K199" s="198"/>
      <c r="L199" s="426"/>
      <c r="M199" s="186">
        <v>11.5</v>
      </c>
      <c r="N199" s="187">
        <v>20.5</v>
      </c>
      <c r="O199" s="192">
        <v>1</v>
      </c>
      <c r="P199" s="186">
        <v>10.5</v>
      </c>
      <c r="Q199" s="187">
        <v>20.5</v>
      </c>
      <c r="R199" s="192">
        <v>1</v>
      </c>
      <c r="S199" s="186"/>
      <c r="T199" s="187"/>
      <c r="U199" s="192"/>
      <c r="V199" s="186"/>
      <c r="W199" s="187"/>
      <c r="X199" s="192"/>
      <c r="Y199" s="19">
        <f t="shared" si="35"/>
        <v>33</v>
      </c>
      <c r="Z199" s="362"/>
      <c r="AA199" s="6"/>
    </row>
    <row r="200" spans="2:27">
      <c r="B200" s="1831"/>
      <c r="C200" s="1565" t="s">
        <v>297</v>
      </c>
      <c r="D200" s="424"/>
      <c r="E200" s="198"/>
      <c r="F200" s="426"/>
      <c r="G200" s="186">
        <v>11.5</v>
      </c>
      <c r="H200" s="187">
        <v>20.5</v>
      </c>
      <c r="I200" s="192">
        <v>1</v>
      </c>
      <c r="J200" s="635">
        <v>7</v>
      </c>
      <c r="K200" s="636">
        <v>16</v>
      </c>
      <c r="L200" s="637">
        <v>1</v>
      </c>
      <c r="M200" s="424"/>
      <c r="N200" s="198"/>
      <c r="O200" s="426"/>
      <c r="P200" s="186">
        <v>11.5</v>
      </c>
      <c r="Q200" s="187">
        <v>20.5</v>
      </c>
      <c r="R200" s="192">
        <v>1</v>
      </c>
      <c r="S200" s="186"/>
      <c r="T200" s="187"/>
      <c r="U200" s="192"/>
      <c r="V200" s="186"/>
      <c r="W200" s="187"/>
      <c r="X200" s="192"/>
      <c r="Y200" s="19">
        <f t="shared" si="35"/>
        <v>24</v>
      </c>
      <c r="Z200" s="362"/>
      <c r="AA200" s="6"/>
    </row>
    <row r="201" spans="2:27">
      <c r="B201" s="1831"/>
      <c r="C201" s="1565" t="s">
        <v>298</v>
      </c>
      <c r="D201" s="241">
        <v>11.5</v>
      </c>
      <c r="E201" s="238">
        <v>20.5</v>
      </c>
      <c r="F201" s="537">
        <v>1</v>
      </c>
      <c r="G201" s="273"/>
      <c r="H201" s="274"/>
      <c r="I201" s="452"/>
      <c r="J201" s="241">
        <v>11.5</v>
      </c>
      <c r="K201" s="238">
        <v>20.5</v>
      </c>
      <c r="L201" s="537">
        <v>1</v>
      </c>
      <c r="M201" s="241">
        <v>11.5</v>
      </c>
      <c r="N201" s="238">
        <v>20.5</v>
      </c>
      <c r="O201" s="537">
        <v>1</v>
      </c>
      <c r="P201" s="273"/>
      <c r="Q201" s="274"/>
      <c r="R201" s="452"/>
      <c r="S201" s="241"/>
      <c r="T201" s="238"/>
      <c r="U201" s="537"/>
      <c r="V201" s="241"/>
      <c r="W201" s="238"/>
      <c r="X201" s="537"/>
      <c r="Y201" s="19">
        <f t="shared" si="35"/>
        <v>24</v>
      </c>
      <c r="Z201" s="822"/>
      <c r="AA201" s="366"/>
    </row>
    <row r="202" spans="2:27" ht="15" customHeight="1">
      <c r="B202" s="1831"/>
      <c r="C202" s="1565" t="s">
        <v>299</v>
      </c>
      <c r="D202" s="411">
        <v>11.5</v>
      </c>
      <c r="E202" s="63">
        <v>20.5</v>
      </c>
      <c r="F202" s="64">
        <v>1</v>
      </c>
      <c r="G202" s="240">
        <v>11.5</v>
      </c>
      <c r="H202" s="101">
        <v>20.5</v>
      </c>
      <c r="I202" s="138">
        <v>1</v>
      </c>
      <c r="J202" s="589"/>
      <c r="K202" s="570"/>
      <c r="L202" s="592"/>
      <c r="M202" s="135">
        <v>11.5</v>
      </c>
      <c r="N202" s="136">
        <v>20.5</v>
      </c>
      <c r="O202" s="433">
        <v>1</v>
      </c>
      <c r="P202" s="1010">
        <v>7</v>
      </c>
      <c r="Q202" s="633">
        <v>16</v>
      </c>
      <c r="R202" s="862">
        <v>1</v>
      </c>
      <c r="S202" s="292"/>
      <c r="T202" s="293"/>
      <c r="U202" s="530"/>
      <c r="V202" s="244"/>
      <c r="W202" s="237"/>
      <c r="X202" s="245"/>
      <c r="Y202" s="19">
        <f t="shared" si="35"/>
        <v>32</v>
      </c>
      <c r="Z202" s="365"/>
      <c r="AA202" s="368"/>
    </row>
    <row r="203" spans="2:27">
      <c r="B203" s="1831"/>
      <c r="C203" s="1602" t="s">
        <v>300</v>
      </c>
      <c r="D203" s="562"/>
      <c r="E203" s="346"/>
      <c r="F203" s="357"/>
      <c r="G203" s="652">
        <v>7</v>
      </c>
      <c r="H203" s="653">
        <v>16</v>
      </c>
      <c r="I203" s="1631">
        <v>1</v>
      </c>
      <c r="J203" s="309">
        <v>11.5</v>
      </c>
      <c r="K203" s="196">
        <v>20.5</v>
      </c>
      <c r="L203" s="408">
        <v>1</v>
      </c>
      <c r="M203" s="355"/>
      <c r="N203" s="346"/>
      <c r="O203" s="661"/>
      <c r="P203" s="309">
        <v>10.5</v>
      </c>
      <c r="Q203" s="196">
        <v>20.5</v>
      </c>
      <c r="R203" s="408">
        <v>1</v>
      </c>
      <c r="S203" s="407"/>
      <c r="T203" s="196"/>
      <c r="U203" s="310"/>
      <c r="V203" s="91"/>
      <c r="W203" s="92"/>
      <c r="X203" s="118"/>
      <c r="Y203" s="19">
        <f t="shared" si="35"/>
        <v>25</v>
      </c>
      <c r="Z203" s="363"/>
      <c r="AA203" s="369"/>
    </row>
    <row r="204" spans="2:27">
      <c r="B204" s="1830" t="s">
        <v>302</v>
      </c>
      <c r="C204" s="1624" t="s">
        <v>303</v>
      </c>
      <c r="D204" s="135">
        <v>11.5</v>
      </c>
      <c r="E204" s="136">
        <v>20.5</v>
      </c>
      <c r="F204" s="433">
        <v>1</v>
      </c>
      <c r="G204" s="135">
        <v>101.5</v>
      </c>
      <c r="H204" s="136">
        <v>20.5</v>
      </c>
      <c r="I204" s="433">
        <v>1</v>
      </c>
      <c r="J204" s="135">
        <v>7</v>
      </c>
      <c r="K204" s="136">
        <v>16</v>
      </c>
      <c r="L204" s="433">
        <v>1</v>
      </c>
      <c r="M204" s="135">
        <v>11.5</v>
      </c>
      <c r="N204" s="136">
        <v>20.5</v>
      </c>
      <c r="O204" s="433">
        <v>1</v>
      </c>
      <c r="P204" s="135">
        <v>12.5</v>
      </c>
      <c r="Q204" s="136">
        <v>20.5</v>
      </c>
      <c r="R204" s="433">
        <v>1</v>
      </c>
      <c r="S204" s="135"/>
      <c r="T204" s="136"/>
      <c r="U204" s="433"/>
      <c r="V204" s="135"/>
      <c r="W204" s="136"/>
      <c r="X204" s="137"/>
      <c r="Y204" s="18">
        <f t="shared" si="35"/>
        <v>-51</v>
      </c>
      <c r="Z204" s="529"/>
      <c r="AA204" s="5"/>
    </row>
    <row r="205" spans="2:27">
      <c r="B205" s="1832"/>
      <c r="C205" s="1623"/>
      <c r="D205" s="73">
        <v>10.5</v>
      </c>
      <c r="E205" s="74">
        <v>20.5</v>
      </c>
      <c r="F205" s="480">
        <v>1</v>
      </c>
      <c r="G205" s="73">
        <v>10.5</v>
      </c>
      <c r="H205" s="74">
        <v>20.5</v>
      </c>
      <c r="I205" s="480">
        <v>1</v>
      </c>
      <c r="J205" s="73">
        <v>10.5</v>
      </c>
      <c r="K205" s="74">
        <v>20.5</v>
      </c>
      <c r="L205" s="480">
        <v>1</v>
      </c>
      <c r="M205" s="316">
        <v>7</v>
      </c>
      <c r="N205" s="317">
        <v>16</v>
      </c>
      <c r="O205" s="638">
        <v>1</v>
      </c>
      <c r="P205" s="73">
        <v>12.5</v>
      </c>
      <c r="Q205" s="74">
        <v>20.5</v>
      </c>
      <c r="R205" s="480">
        <v>1</v>
      </c>
      <c r="S205" s="73"/>
      <c r="T205" s="74"/>
      <c r="U205" s="480"/>
      <c r="V205" s="73"/>
      <c r="W205" s="74"/>
      <c r="X205" s="75"/>
      <c r="Y205" s="18">
        <f t="shared" si="35"/>
        <v>42</v>
      </c>
      <c r="Z205" s="457"/>
      <c r="AA205" s="6"/>
    </row>
    <row r="206" spans="2:27">
      <c r="B206" s="2007"/>
      <c r="C206" s="1606" t="s">
        <v>304</v>
      </c>
      <c r="D206" s="1112">
        <v>7</v>
      </c>
      <c r="E206" s="1113">
        <v>12</v>
      </c>
      <c r="F206" s="1478"/>
      <c r="G206" s="135">
        <v>16.5</v>
      </c>
      <c r="H206" s="136">
        <v>20.5</v>
      </c>
      <c r="I206" s="433"/>
      <c r="J206" s="276"/>
      <c r="K206" s="277"/>
      <c r="L206" s="446"/>
      <c r="M206" s="276"/>
      <c r="N206" s="277"/>
      <c r="O206" s="446"/>
      <c r="P206" s="135">
        <v>16.5</v>
      </c>
      <c r="Q206" s="136">
        <v>20.5</v>
      </c>
      <c r="R206" s="433"/>
      <c r="S206" s="135"/>
      <c r="T206" s="136"/>
      <c r="U206" s="433"/>
      <c r="V206" s="244"/>
      <c r="W206" s="237"/>
      <c r="X206" s="245"/>
      <c r="Y206" s="18">
        <f t="shared" si="35"/>
        <v>13</v>
      </c>
      <c r="Z206" s="529"/>
      <c r="AA206" s="5"/>
    </row>
    <row r="207" spans="2:27">
      <c r="B207" s="2007"/>
      <c r="C207" s="1566" t="s">
        <v>305</v>
      </c>
      <c r="D207" s="225"/>
      <c r="E207" s="226"/>
      <c r="F207" s="430"/>
      <c r="G207" s="73">
        <v>15.5</v>
      </c>
      <c r="H207" s="74">
        <v>20.5</v>
      </c>
      <c r="I207" s="480"/>
      <c r="J207" s="316">
        <v>7</v>
      </c>
      <c r="K207" s="317">
        <v>12</v>
      </c>
      <c r="L207" s="638"/>
      <c r="M207" s="73">
        <v>16.5</v>
      </c>
      <c r="N207" s="74">
        <v>20.5</v>
      </c>
      <c r="O207" s="480"/>
      <c r="P207" s="225"/>
      <c r="Q207" s="226"/>
      <c r="R207" s="430"/>
      <c r="S207" s="73"/>
      <c r="T207" s="74"/>
      <c r="U207" s="480"/>
      <c r="V207" s="79"/>
      <c r="W207" s="80"/>
      <c r="X207" s="247"/>
      <c r="Y207" s="18">
        <f t="shared" si="35"/>
        <v>14</v>
      </c>
      <c r="Z207" s="457"/>
      <c r="AA207" s="6"/>
    </row>
    <row r="208" spans="2:27">
      <c r="B208" s="2007"/>
      <c r="C208" s="1566" t="s">
        <v>306</v>
      </c>
      <c r="D208" s="73">
        <v>15.5</v>
      </c>
      <c r="E208" s="74">
        <v>20.5</v>
      </c>
      <c r="F208" s="480"/>
      <c r="G208" s="225"/>
      <c r="H208" s="226"/>
      <c r="I208" s="430"/>
      <c r="J208" s="73">
        <v>15.5</v>
      </c>
      <c r="K208" s="74">
        <v>20.5</v>
      </c>
      <c r="L208" s="480"/>
      <c r="M208" s="225"/>
      <c r="N208" s="226"/>
      <c r="O208" s="430"/>
      <c r="P208" s="73">
        <v>15.5</v>
      </c>
      <c r="Q208" s="74">
        <v>20.5</v>
      </c>
      <c r="R208" s="480"/>
      <c r="S208" s="73"/>
      <c r="T208" s="74"/>
      <c r="U208" s="480"/>
      <c r="V208" s="79"/>
      <c r="W208" s="80"/>
      <c r="X208" s="247"/>
      <c r="Y208" s="18">
        <f t="shared" si="35"/>
        <v>15</v>
      </c>
      <c r="Z208" s="457"/>
      <c r="AA208" s="6"/>
    </row>
    <row r="209" spans="2:27">
      <c r="B209" s="2007"/>
      <c r="C209" s="1566" t="s">
        <v>307</v>
      </c>
      <c r="D209" s="186">
        <v>16.5</v>
      </c>
      <c r="E209" s="187">
        <v>20.5</v>
      </c>
      <c r="F209" s="192"/>
      <c r="G209" s="424"/>
      <c r="H209" s="198"/>
      <c r="I209" s="426"/>
      <c r="J209" s="186">
        <v>16.5</v>
      </c>
      <c r="K209" s="187">
        <v>20.5</v>
      </c>
      <c r="L209" s="192"/>
      <c r="M209" s="186">
        <v>16.5</v>
      </c>
      <c r="N209" s="187">
        <v>20.5</v>
      </c>
      <c r="O209" s="192"/>
      <c r="P209" s="635">
        <v>7</v>
      </c>
      <c r="Q209" s="636">
        <v>12</v>
      </c>
      <c r="R209" s="637"/>
      <c r="S209" s="186"/>
      <c r="T209" s="187"/>
      <c r="U209" s="192"/>
      <c r="V209" s="79"/>
      <c r="W209" s="80"/>
      <c r="X209" s="247"/>
      <c r="Y209" s="18">
        <f t="shared" si="35"/>
        <v>17</v>
      </c>
      <c r="Z209" s="500"/>
      <c r="AA209" s="369"/>
    </row>
    <row r="210" spans="2:27">
      <c r="B210" s="2007"/>
      <c r="C210" s="1566" t="s">
        <v>308</v>
      </c>
      <c r="D210" s="424"/>
      <c r="E210" s="198"/>
      <c r="F210" s="426"/>
      <c r="G210" s="635">
        <v>7</v>
      </c>
      <c r="H210" s="636">
        <v>12</v>
      </c>
      <c r="I210" s="637"/>
      <c r="J210" s="424"/>
      <c r="K210" s="198"/>
      <c r="L210" s="426"/>
      <c r="M210" s="186">
        <v>16.5</v>
      </c>
      <c r="N210" s="187">
        <v>20.5</v>
      </c>
      <c r="O210" s="192"/>
      <c r="P210" s="424"/>
      <c r="Q210" s="198"/>
      <c r="R210" s="426"/>
      <c r="S210" s="186"/>
      <c r="T210" s="187"/>
      <c r="U210" s="192"/>
      <c r="V210" s="79"/>
      <c r="W210" s="80"/>
      <c r="X210" s="247"/>
      <c r="Y210" s="18">
        <f t="shared" si="35"/>
        <v>9</v>
      </c>
      <c r="Z210" s="500"/>
      <c r="AA210" s="369"/>
    </row>
    <row r="211" spans="2:27">
      <c r="B211" s="2007"/>
      <c r="C211" s="1566" t="s">
        <v>309</v>
      </c>
      <c r="D211" s="424"/>
      <c r="E211" s="198"/>
      <c r="F211" s="426"/>
      <c r="G211" s="424"/>
      <c r="H211" s="198"/>
      <c r="I211" s="426"/>
      <c r="J211" s="186">
        <v>15.5</v>
      </c>
      <c r="K211" s="187">
        <v>20.5</v>
      </c>
      <c r="L211" s="192"/>
      <c r="M211" s="424"/>
      <c r="N211" s="198"/>
      <c r="O211" s="426"/>
      <c r="P211" s="186">
        <v>12.5</v>
      </c>
      <c r="Q211" s="187">
        <v>20.5</v>
      </c>
      <c r="R211" s="192">
        <v>1</v>
      </c>
      <c r="S211" s="186"/>
      <c r="T211" s="187"/>
      <c r="U211" s="192"/>
      <c r="V211" s="79"/>
      <c r="W211" s="80"/>
      <c r="X211" s="247"/>
      <c r="Y211" s="18">
        <f t="shared" si="35"/>
        <v>12</v>
      </c>
      <c r="Z211" s="500"/>
      <c r="AA211" s="369"/>
    </row>
    <row r="212" spans="2:27">
      <c r="B212" s="2007"/>
      <c r="C212" s="1566" t="s">
        <v>310</v>
      </c>
      <c r="D212" s="186">
        <v>15.5</v>
      </c>
      <c r="E212" s="187">
        <v>20.5</v>
      </c>
      <c r="F212" s="192"/>
      <c r="G212" s="424"/>
      <c r="H212" s="198"/>
      <c r="I212" s="426"/>
      <c r="J212" s="424"/>
      <c r="K212" s="198"/>
      <c r="L212" s="426"/>
      <c r="M212" s="635">
        <v>7</v>
      </c>
      <c r="N212" s="636">
        <v>15</v>
      </c>
      <c r="O212" s="637">
        <v>1</v>
      </c>
      <c r="P212" s="424"/>
      <c r="Q212" s="198"/>
      <c r="R212" s="426"/>
      <c r="S212" s="186"/>
      <c r="T212" s="187"/>
      <c r="U212" s="192"/>
      <c r="V212" s="79"/>
      <c r="W212" s="80"/>
      <c r="X212" s="247"/>
      <c r="Y212" s="18">
        <f t="shared" si="35"/>
        <v>12</v>
      </c>
      <c r="Z212" s="500"/>
      <c r="AA212" s="369"/>
    </row>
    <row r="213" spans="2:27">
      <c r="B213" s="2007"/>
      <c r="C213" s="1566" t="s">
        <v>311</v>
      </c>
      <c r="D213" s="424"/>
      <c r="E213" s="198"/>
      <c r="F213" s="426"/>
      <c r="G213" s="186">
        <v>16.5</v>
      </c>
      <c r="H213" s="187">
        <v>20.5</v>
      </c>
      <c r="I213" s="192"/>
      <c r="J213" s="635">
        <v>7</v>
      </c>
      <c r="K213" s="636">
        <v>12</v>
      </c>
      <c r="L213" s="637"/>
      <c r="M213" s="424"/>
      <c r="N213" s="198"/>
      <c r="O213" s="426"/>
      <c r="P213" s="186">
        <v>16.5</v>
      </c>
      <c r="Q213" s="187">
        <v>20.5</v>
      </c>
      <c r="R213" s="192"/>
      <c r="S213" s="186"/>
      <c r="T213" s="187"/>
      <c r="U213" s="192"/>
      <c r="V213" s="79"/>
      <c r="W213" s="80"/>
      <c r="X213" s="247"/>
      <c r="Y213" s="18">
        <f t="shared" si="35"/>
        <v>13</v>
      </c>
      <c r="Z213" s="500"/>
      <c r="AA213" s="369"/>
    </row>
    <row r="214" spans="2:27">
      <c r="B214" s="2007"/>
      <c r="C214" s="1566" t="s">
        <v>312</v>
      </c>
      <c r="D214" s="635">
        <v>7</v>
      </c>
      <c r="E214" s="636">
        <v>12</v>
      </c>
      <c r="F214" s="637"/>
      <c r="G214" s="186">
        <v>12.5</v>
      </c>
      <c r="H214" s="187">
        <v>20.5</v>
      </c>
      <c r="I214" s="192">
        <v>1</v>
      </c>
      <c r="J214" s="424"/>
      <c r="K214" s="198"/>
      <c r="L214" s="426"/>
      <c r="M214" s="186">
        <v>16.5</v>
      </c>
      <c r="N214" s="187">
        <v>20.5</v>
      </c>
      <c r="O214" s="192"/>
      <c r="P214" s="424"/>
      <c r="Q214" s="198"/>
      <c r="R214" s="426"/>
      <c r="S214" s="186"/>
      <c r="T214" s="187"/>
      <c r="U214" s="192"/>
      <c r="V214" s="79"/>
      <c r="W214" s="80"/>
      <c r="X214" s="247"/>
      <c r="Y214" s="18">
        <f t="shared" si="35"/>
        <v>16</v>
      </c>
      <c r="Z214" s="500"/>
      <c r="AA214" s="369"/>
    </row>
    <row r="215" spans="2:27" ht="15" customHeight="1">
      <c r="B215" s="2007"/>
      <c r="C215" s="1566" t="s">
        <v>314</v>
      </c>
      <c r="D215" s="186">
        <v>13.5</v>
      </c>
      <c r="E215" s="187">
        <v>20.5</v>
      </c>
      <c r="F215" s="192">
        <v>1</v>
      </c>
      <c r="G215" s="424"/>
      <c r="H215" s="198"/>
      <c r="I215" s="426"/>
      <c r="J215" s="186">
        <v>16.5</v>
      </c>
      <c r="K215" s="187">
        <v>20.5</v>
      </c>
      <c r="L215" s="192"/>
      <c r="M215" s="424"/>
      <c r="N215" s="198"/>
      <c r="O215" s="426"/>
      <c r="P215" s="186">
        <v>16.5</v>
      </c>
      <c r="Q215" s="187">
        <v>20.5</v>
      </c>
      <c r="R215" s="192"/>
      <c r="S215" s="186"/>
      <c r="T215" s="187"/>
      <c r="U215" s="192"/>
      <c r="V215" s="79"/>
      <c r="W215" s="80"/>
      <c r="X215" s="247"/>
      <c r="Y215" s="18">
        <f t="shared" si="35"/>
        <v>14</v>
      </c>
      <c r="Z215" s="500"/>
      <c r="AA215" s="369"/>
    </row>
    <row r="216" spans="2:27">
      <c r="B216" s="2311"/>
      <c r="C216" s="1563" t="s">
        <v>315</v>
      </c>
      <c r="D216" s="936"/>
      <c r="E216" s="937"/>
      <c r="F216" s="1120"/>
      <c r="G216" s="847">
        <v>7</v>
      </c>
      <c r="H216" s="848">
        <v>12</v>
      </c>
      <c r="I216" s="849"/>
      <c r="J216" s="606">
        <v>16.5</v>
      </c>
      <c r="K216" s="607">
        <v>20.5</v>
      </c>
      <c r="L216" s="608"/>
      <c r="M216" s="606">
        <v>14.5</v>
      </c>
      <c r="N216" s="607">
        <v>20.5</v>
      </c>
      <c r="O216" s="608">
        <v>1</v>
      </c>
      <c r="P216" s="936"/>
      <c r="Q216" s="937"/>
      <c r="R216" s="1120"/>
      <c r="S216" s="606"/>
      <c r="T216" s="607"/>
      <c r="U216" s="608"/>
      <c r="V216" s="330"/>
      <c r="W216" s="331"/>
      <c r="X216" s="332"/>
      <c r="Y216" s="18">
        <f t="shared" si="35"/>
        <v>14</v>
      </c>
      <c r="Z216" s="500"/>
      <c r="AA216" s="369"/>
    </row>
    <row r="217" spans="2:27">
      <c r="B217" s="1789" t="s">
        <v>316</v>
      </c>
      <c r="C217" s="1606" t="s">
        <v>317</v>
      </c>
      <c r="D217" s="292">
        <v>16.5</v>
      </c>
      <c r="E217" s="293">
        <v>20.5</v>
      </c>
      <c r="F217" s="530"/>
      <c r="G217" s="586"/>
      <c r="H217" s="570"/>
      <c r="I217" s="890"/>
      <c r="J217" s="292">
        <v>13.5</v>
      </c>
      <c r="K217" s="293">
        <v>20.5</v>
      </c>
      <c r="L217" s="530">
        <v>1</v>
      </c>
      <c r="M217" s="586"/>
      <c r="N217" s="570"/>
      <c r="O217" s="890"/>
      <c r="P217" s="292">
        <v>16.5</v>
      </c>
      <c r="Q217" s="293">
        <v>20.5</v>
      </c>
      <c r="R217" s="530"/>
      <c r="S217" s="292"/>
      <c r="T217" s="293"/>
      <c r="U217" s="530"/>
      <c r="V217" s="244"/>
      <c r="W217" s="237"/>
      <c r="X217" s="245"/>
      <c r="Y217" s="18">
        <f t="shared" si="35"/>
        <v>14</v>
      </c>
      <c r="Z217" s="500"/>
      <c r="AA217" s="369"/>
    </row>
    <row r="218" spans="2:27">
      <c r="B218" s="2311"/>
      <c r="C218" s="1563" t="s">
        <v>318</v>
      </c>
      <c r="D218" s="606">
        <v>15.5</v>
      </c>
      <c r="E218" s="607">
        <v>20.5</v>
      </c>
      <c r="F218" s="608"/>
      <c r="G218" s="936"/>
      <c r="H218" s="937"/>
      <c r="I218" s="1120"/>
      <c r="J218" s="936"/>
      <c r="K218" s="937"/>
      <c r="L218" s="1120"/>
      <c r="M218" s="407">
        <v>16.5</v>
      </c>
      <c r="N218" s="196">
        <v>20.5</v>
      </c>
      <c r="O218" s="310"/>
      <c r="P218" s="193"/>
      <c r="Q218" s="194"/>
      <c r="R218" s="1525"/>
      <c r="S218" s="407"/>
      <c r="T218" s="196"/>
      <c r="U218" s="310"/>
      <c r="V218" s="91"/>
      <c r="W218" s="92"/>
      <c r="X218" s="118"/>
      <c r="Y218" s="1">
        <f t="shared" si="35"/>
        <v>9</v>
      </c>
      <c r="Z218" s="500"/>
      <c r="AA218" s="369"/>
    </row>
    <row r="219" spans="2:27">
      <c r="D219" s="1836">
        <f>COUNT(D186:D218)</f>
        <v>21</v>
      </c>
      <c r="E219" s="1837"/>
      <c r="F219" s="1838"/>
      <c r="G219" s="1836">
        <f t="shared" ref="G219" si="36">COUNT(G186:G218)</f>
        <v>21</v>
      </c>
      <c r="H219" s="1837"/>
      <c r="I219" s="1838"/>
      <c r="J219" s="1836">
        <f t="shared" ref="J219" si="37">COUNT(J186:J218)</f>
        <v>21</v>
      </c>
      <c r="K219" s="1837"/>
      <c r="L219" s="1838"/>
      <c r="M219" s="1836">
        <f t="shared" ref="M219" si="38">COUNT(M186:M218)</f>
        <v>21</v>
      </c>
      <c r="N219" s="1837"/>
      <c r="O219" s="1838"/>
      <c r="P219" s="1836">
        <f t="shared" ref="P219" si="39">COUNT(P186:P218)</f>
        <v>24</v>
      </c>
      <c r="Q219" s="1837"/>
      <c r="R219" s="1838"/>
      <c r="S219" s="1836">
        <f t="shared" ref="S219" si="40">COUNT(S186:S218)</f>
        <v>0</v>
      </c>
      <c r="T219" s="1837"/>
      <c r="U219" s="1837"/>
      <c r="V219" s="1836">
        <f t="shared" ref="V219" si="41">COUNT(V186:V218)</f>
        <v>0</v>
      </c>
      <c r="W219" s="1837"/>
      <c r="X219" s="1838"/>
      <c r="Y219" s="1932"/>
      <c r="Z219" s="1932"/>
      <c r="AA219" s="1932"/>
    </row>
    <row r="226" spans="4:18">
      <c r="H226" s="50"/>
      <c r="I226" s="50"/>
      <c r="J226" s="50"/>
      <c r="K226" s="50"/>
      <c r="L226" s="50"/>
      <c r="M226" s="50"/>
      <c r="N226" s="50"/>
      <c r="O226" s="50"/>
      <c r="P226" s="50"/>
      <c r="Q226" s="50"/>
    </row>
    <row r="227" spans="4:18">
      <c r="G227" s="50"/>
      <c r="H227" s="2265" t="s">
        <v>371</v>
      </c>
      <c r="I227" s="2266"/>
      <c r="J227" s="2266"/>
      <c r="K227" s="2266"/>
      <c r="L227" s="2267"/>
      <c r="M227" s="2265" t="s">
        <v>372</v>
      </c>
      <c r="N227" s="2266"/>
      <c r="O227" s="2266"/>
      <c r="P227" s="2266"/>
      <c r="Q227" s="2267"/>
      <c r="R227" s="50"/>
    </row>
    <row r="228" spans="4:18">
      <c r="H228" s="50"/>
      <c r="I228" s="50"/>
      <c r="J228" s="50"/>
      <c r="K228" s="50"/>
      <c r="L228" s="50"/>
      <c r="M228" s="50"/>
      <c r="N228" s="50"/>
      <c r="O228" s="50"/>
      <c r="P228" s="50"/>
      <c r="Q228" s="50"/>
    </row>
    <row r="237" spans="4:18">
      <c r="E237" s="50"/>
      <c r="F237" s="50"/>
      <c r="G237" s="50"/>
      <c r="H237" s="50"/>
      <c r="I237" s="50"/>
      <c r="J237" s="50"/>
    </row>
    <row r="238" spans="4:18">
      <c r="D238" s="50"/>
      <c r="E238" s="183"/>
      <c r="F238" s="183"/>
      <c r="G238" s="183"/>
      <c r="H238" s="182"/>
      <c r="I238" s="182"/>
      <c r="J238" s="182"/>
      <c r="K238" s="50"/>
    </row>
    <row r="239" spans="4:18">
      <c r="D239" s="50"/>
      <c r="E239" s="183"/>
      <c r="F239" s="183"/>
      <c r="G239" s="183"/>
      <c r="H239" s="182"/>
      <c r="I239" s="182"/>
      <c r="J239" s="182"/>
      <c r="K239" s="50"/>
    </row>
    <row r="240" spans="4:18">
      <c r="D240" s="50"/>
      <c r="E240" s="183"/>
      <c r="F240" s="183"/>
      <c r="G240" s="183"/>
      <c r="H240" s="182"/>
      <c r="I240" s="182"/>
      <c r="J240" s="182"/>
      <c r="K240" s="50"/>
    </row>
    <row r="241" spans="4:11">
      <c r="D241" s="50"/>
      <c r="E241" s="183"/>
      <c r="F241" s="183"/>
      <c r="G241" s="183"/>
      <c r="H241" s="1527"/>
      <c r="I241" s="1527"/>
      <c r="J241" s="1527"/>
      <c r="K241" s="50"/>
    </row>
    <row r="242" spans="4:11">
      <c r="D242" s="50"/>
      <c r="E242" s="183"/>
      <c r="F242" s="183"/>
      <c r="G242" s="183"/>
      <c r="H242" s="1527"/>
      <c r="I242" s="1527"/>
      <c r="J242" s="1527"/>
      <c r="K242" s="50"/>
    </row>
    <row r="243" spans="4:11">
      <c r="D243" s="50"/>
      <c r="E243" s="183"/>
      <c r="F243" s="183"/>
      <c r="G243" s="183"/>
      <c r="H243" s="1527"/>
      <c r="I243" s="1527"/>
      <c r="J243" s="1527"/>
      <c r="K243" s="50"/>
    </row>
    <row r="244" spans="4:11">
      <c r="D244" s="50"/>
      <c r="E244" s="183"/>
      <c r="F244" s="183"/>
      <c r="G244" s="183"/>
      <c r="H244" s="1527"/>
      <c r="I244" s="1527"/>
      <c r="J244" s="1527"/>
      <c r="K244" s="50"/>
    </row>
    <row r="245" spans="4:11">
      <c r="D245" s="50"/>
      <c r="E245" s="183"/>
      <c r="F245" s="183"/>
      <c r="G245" s="183"/>
      <c r="H245" s="1527"/>
      <c r="I245" s="1527"/>
      <c r="J245" s="1527"/>
      <c r="K245" s="50"/>
    </row>
    <row r="246" spans="4:11">
      <c r="D246" s="50"/>
      <c r="E246" s="183"/>
      <c r="F246" s="183"/>
      <c r="G246" s="183"/>
      <c r="H246" s="1527"/>
      <c r="I246" s="1527"/>
      <c r="J246" s="1527"/>
      <c r="K246" s="50"/>
    </row>
    <row r="247" spans="4:11">
      <c r="D247" s="50"/>
      <c r="E247" s="183"/>
      <c r="F247" s="183"/>
      <c r="G247" s="183"/>
      <c r="H247" s="1527"/>
      <c r="I247" s="1527"/>
      <c r="J247" s="1527"/>
      <c r="K247" s="50"/>
    </row>
    <row r="248" spans="4:11">
      <c r="D248" s="50"/>
      <c r="E248" s="183"/>
      <c r="F248" s="183"/>
      <c r="G248" s="183"/>
      <c r="H248" s="1527"/>
      <c r="I248" s="1527"/>
      <c r="J248" s="1527"/>
      <c r="K248" s="50"/>
    </row>
    <row r="249" spans="4:11">
      <c r="D249" s="50"/>
      <c r="E249" s="183"/>
      <c r="F249" s="183"/>
      <c r="G249" s="183"/>
      <c r="H249" s="1527"/>
      <c r="I249" s="1527"/>
      <c r="J249" s="1527"/>
      <c r="K249" s="50"/>
    </row>
    <row r="250" spans="4:11">
      <c r="D250" s="50"/>
      <c r="E250" s="183"/>
      <c r="F250" s="183"/>
      <c r="G250" s="183"/>
      <c r="H250" s="1527"/>
      <c r="I250" s="1527"/>
      <c r="J250" s="1527"/>
      <c r="K250" s="50"/>
    </row>
    <row r="251" spans="4:11">
      <c r="D251" s="50"/>
      <c r="E251" s="183"/>
      <c r="F251" s="183"/>
      <c r="G251" s="183"/>
      <c r="H251" s="1527"/>
      <c r="I251" s="1527"/>
      <c r="J251" s="1527"/>
      <c r="K251" s="50"/>
    </row>
    <row r="252" spans="4:11">
      <c r="E252" s="50"/>
      <c r="F252" s="50"/>
      <c r="G252" s="50"/>
      <c r="H252" s="50"/>
      <c r="I252" s="50"/>
      <c r="J252" s="50"/>
    </row>
  </sheetData>
  <sheetProtection algorithmName="SHA-512" hashValue="Z9kzE6sNL42nD28j4OopMgiyAdj7X3eA79kUsg4v8Ctu+Rcrr76Kqdh+dUj3wd4XpfEyvMJHME0oSmsxzcj99A==" saltValue="mpl52k0YuoFllk6krW2/8A==" spinCount="100000" sheet="1" objects="1" scenarios="1"/>
  <mergeCells count="182">
    <mergeCell ref="S219:U219"/>
    <mergeCell ref="V219:X219"/>
    <mergeCell ref="Y219:AA219"/>
    <mergeCell ref="B187:B188"/>
    <mergeCell ref="B189:B192"/>
    <mergeCell ref="B193:B203"/>
    <mergeCell ref="B204:B205"/>
    <mergeCell ref="B206:B216"/>
    <mergeCell ref="B217:B218"/>
    <mergeCell ref="D219:F219"/>
    <mergeCell ref="G219:I219"/>
    <mergeCell ref="J219:L219"/>
    <mergeCell ref="B150:B153"/>
    <mergeCell ref="B166:B176"/>
    <mergeCell ref="B177:B178"/>
    <mergeCell ref="D179:F179"/>
    <mergeCell ref="G179:I179"/>
    <mergeCell ref="J179:L179"/>
    <mergeCell ref="M179:O179"/>
    <mergeCell ref="P179:R179"/>
    <mergeCell ref="B155:B164"/>
    <mergeCell ref="Y179:AA179"/>
    <mergeCell ref="B183:C184"/>
    <mergeCell ref="D183:F184"/>
    <mergeCell ref="G183:I184"/>
    <mergeCell ref="J183:L184"/>
    <mergeCell ref="M183:O184"/>
    <mergeCell ref="P183:R184"/>
    <mergeCell ref="S183:U184"/>
    <mergeCell ref="V183:X184"/>
    <mergeCell ref="S179:U179"/>
    <mergeCell ref="V179:X179"/>
    <mergeCell ref="D182:F182"/>
    <mergeCell ref="P182:R182"/>
    <mergeCell ref="B148:B149"/>
    <mergeCell ref="S143:X143"/>
    <mergeCell ref="B144:C145"/>
    <mergeCell ref="D144:F145"/>
    <mergeCell ref="G144:I145"/>
    <mergeCell ref="J144:L145"/>
    <mergeCell ref="P144:R145"/>
    <mergeCell ref="S144:U145"/>
    <mergeCell ref="V144:X145"/>
    <mergeCell ref="S146:U146"/>
    <mergeCell ref="V146:X146"/>
    <mergeCell ref="Y139:AA139"/>
    <mergeCell ref="S104:U104"/>
    <mergeCell ref="V104:X104"/>
    <mergeCell ref="P54:R55"/>
    <mergeCell ref="S54:U55"/>
    <mergeCell ref="V54:X55"/>
    <mergeCell ref="M47:O47"/>
    <mergeCell ref="G101:I101"/>
    <mergeCell ref="M101:O101"/>
    <mergeCell ref="P101:R101"/>
    <mergeCell ref="S101:X101"/>
    <mergeCell ref="G102:I103"/>
    <mergeCell ref="J102:L103"/>
    <mergeCell ref="P102:R103"/>
    <mergeCell ref="S102:U103"/>
    <mergeCell ref="V102:X103"/>
    <mergeCell ref="G139:I139"/>
    <mergeCell ref="J139:L139"/>
    <mergeCell ref="Y94:AA94"/>
    <mergeCell ref="Y47:AA47"/>
    <mergeCell ref="G53:L53"/>
    <mergeCell ref="M139:O139"/>
    <mergeCell ref="S139:U139"/>
    <mergeCell ref="V139:X139"/>
    <mergeCell ref="P6:R7"/>
    <mergeCell ref="J5:L5"/>
    <mergeCell ref="M5:O5"/>
    <mergeCell ref="S5:X5"/>
    <mergeCell ref="S6:U7"/>
    <mergeCell ref="V6:X7"/>
    <mergeCell ref="S8:U8"/>
    <mergeCell ref="J94:L94"/>
    <mergeCell ref="M94:O94"/>
    <mergeCell ref="P94:R94"/>
    <mergeCell ref="M53:O53"/>
    <mergeCell ref="J55:L55"/>
    <mergeCell ref="S94:U94"/>
    <mergeCell ref="V94:X94"/>
    <mergeCell ref="B102:C103"/>
    <mergeCell ref="D102:F103"/>
    <mergeCell ref="B109:B112"/>
    <mergeCell ref="B126:B136"/>
    <mergeCell ref="B137:B138"/>
    <mergeCell ref="D139:F139"/>
    <mergeCell ref="B106:B108"/>
    <mergeCell ref="B113:B124"/>
    <mergeCell ref="M102:O102"/>
    <mergeCell ref="M103:O103"/>
    <mergeCell ref="B45:B46"/>
    <mergeCell ref="B10:B13"/>
    <mergeCell ref="B18:B19"/>
    <mergeCell ref="B33:B44"/>
    <mergeCell ref="G7:I7"/>
    <mergeCell ref="M7:O7"/>
    <mergeCell ref="B6:C7"/>
    <mergeCell ref="D6:F7"/>
    <mergeCell ref="J6:L7"/>
    <mergeCell ref="AD11:AF11"/>
    <mergeCell ref="V8:X8"/>
    <mergeCell ref="AD14:AF14"/>
    <mergeCell ref="AD21:AF21"/>
    <mergeCell ref="S47:U47"/>
    <mergeCell ref="V47:X47"/>
    <mergeCell ref="P53:R53"/>
    <mergeCell ref="B67:B77"/>
    <mergeCell ref="D47:F47"/>
    <mergeCell ref="G47:I47"/>
    <mergeCell ref="J47:L47"/>
    <mergeCell ref="P47:R47"/>
    <mergeCell ref="J56:L56"/>
    <mergeCell ref="M56:O56"/>
    <mergeCell ref="P56:R56"/>
    <mergeCell ref="S56:U56"/>
    <mergeCell ref="V56:X56"/>
    <mergeCell ref="D8:F8"/>
    <mergeCell ref="G8:I8"/>
    <mergeCell ref="J8:L8"/>
    <mergeCell ref="M8:O8"/>
    <mergeCell ref="P8:R8"/>
    <mergeCell ref="B14:B17"/>
    <mergeCell ref="B20:B30"/>
    <mergeCell ref="B80:B91"/>
    <mergeCell ref="B92:B93"/>
    <mergeCell ref="D94:F94"/>
    <mergeCell ref="G94:I94"/>
    <mergeCell ref="B54:C55"/>
    <mergeCell ref="D54:F55"/>
    <mergeCell ref="D56:F56"/>
    <mergeCell ref="G56:I56"/>
    <mergeCell ref="B58:B61"/>
    <mergeCell ref="B62:B65"/>
    <mergeCell ref="AB105:AC105"/>
    <mergeCell ref="V185:X185"/>
    <mergeCell ref="S53:X53"/>
    <mergeCell ref="D185:F185"/>
    <mergeCell ref="G185:I185"/>
    <mergeCell ref="J185:L185"/>
    <mergeCell ref="M185:O185"/>
    <mergeCell ref="P185:R185"/>
    <mergeCell ref="S185:U185"/>
    <mergeCell ref="D104:F104"/>
    <mergeCell ref="G104:I104"/>
    <mergeCell ref="J104:L104"/>
    <mergeCell ref="M104:O104"/>
    <mergeCell ref="P104:R104"/>
    <mergeCell ref="G143:I143"/>
    <mergeCell ref="M143:O143"/>
    <mergeCell ref="P143:R143"/>
    <mergeCell ref="D146:F146"/>
    <mergeCell ref="G146:I146"/>
    <mergeCell ref="J146:L146"/>
    <mergeCell ref="M146:O146"/>
    <mergeCell ref="P146:R146"/>
    <mergeCell ref="AC55:AD55"/>
    <mergeCell ref="M55:O55"/>
    <mergeCell ref="H227:L227"/>
    <mergeCell ref="M227:Q227"/>
    <mergeCell ref="M54:O54"/>
    <mergeCell ref="G55:I55"/>
    <mergeCell ref="M52:O52"/>
    <mergeCell ref="J52:L52"/>
    <mergeCell ref="G52:I52"/>
    <mergeCell ref="G51:I51"/>
    <mergeCell ref="D53:F53"/>
    <mergeCell ref="J101:L101"/>
    <mergeCell ref="J51:L51"/>
    <mergeCell ref="G100:I100"/>
    <mergeCell ref="M100:O100"/>
    <mergeCell ref="J100:L100"/>
    <mergeCell ref="P139:R139"/>
    <mergeCell ref="M219:O219"/>
    <mergeCell ref="P219:R219"/>
    <mergeCell ref="J143:L143"/>
    <mergeCell ref="M142:O142"/>
    <mergeCell ref="P142:R142"/>
    <mergeCell ref="M145:O145"/>
    <mergeCell ref="M144:O144"/>
  </mergeCells>
  <pageMargins left="0.25" right="0.25" top="0.75" bottom="0.75" header="0.3" footer="0.3"/>
  <pageSetup paperSize="9"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975"/>
  <sheetViews>
    <sheetView zoomScale="75" workbookViewId="0">
      <selection activeCell="B4" sqref="B4"/>
    </sheetView>
  </sheetViews>
  <sheetFormatPr baseColWidth="10" defaultColWidth="12.59765625" defaultRowHeight="15" customHeight="1"/>
  <cols>
    <col min="2" max="2" width="19.09765625" customWidth="1"/>
    <col min="3" max="5" width="10.8984375" customWidth="1"/>
    <col min="6" max="6" width="10.8984375" style="50" customWidth="1"/>
    <col min="7" max="8" width="9.09765625" style="15" customWidth="1"/>
    <col min="9" max="9" width="19.296875" style="15" customWidth="1"/>
    <col min="10" max="10" width="19.69921875" customWidth="1"/>
    <col min="11" max="11" width="19.69921875" style="15" customWidth="1"/>
    <col min="12" max="12" width="19.69921875" customWidth="1"/>
    <col min="13" max="14" width="19.69921875" style="15" customWidth="1"/>
    <col min="15" max="23" width="8.59765625" style="15" customWidth="1"/>
  </cols>
  <sheetData>
    <row r="1" spans="1:15" ht="15" customHeight="1">
      <c r="B1" s="50"/>
      <c r="C1" s="50"/>
      <c r="D1" s="50"/>
      <c r="E1" s="50"/>
      <c r="G1" s="49"/>
    </row>
    <row r="2" spans="1:15" ht="23.25" customHeight="1">
      <c r="A2" s="50"/>
      <c r="B2" s="1568" t="s">
        <v>275</v>
      </c>
      <c r="C2" s="1559">
        <v>5</v>
      </c>
      <c r="D2" s="1559">
        <v>12</v>
      </c>
      <c r="E2" s="1560">
        <v>19</v>
      </c>
      <c r="F2" s="1569">
        <v>26</v>
      </c>
      <c r="G2" s="385"/>
      <c r="H2" s="385"/>
    </row>
    <row r="3" spans="1:15" ht="20.25" customHeight="1">
      <c r="A3" s="50"/>
      <c r="B3" s="823" t="s">
        <v>277</v>
      </c>
      <c r="C3" s="1571">
        <v>1</v>
      </c>
      <c r="D3" s="1575"/>
      <c r="E3" s="1576"/>
      <c r="F3" s="1573">
        <v>1</v>
      </c>
      <c r="G3" s="259"/>
      <c r="H3" s="259"/>
      <c r="O3" s="49"/>
    </row>
    <row r="4" spans="1:15" ht="20.25" customHeight="1">
      <c r="A4" s="50"/>
      <c r="B4" s="1668" t="s">
        <v>278</v>
      </c>
      <c r="C4" s="1575"/>
      <c r="D4" s="1571">
        <v>1</v>
      </c>
      <c r="E4" s="1572">
        <v>1</v>
      </c>
      <c r="F4" s="1589"/>
      <c r="G4" s="259"/>
      <c r="H4" s="259"/>
      <c r="O4" s="49"/>
    </row>
    <row r="5" spans="1:15" ht="20.25" customHeight="1">
      <c r="A5" s="50"/>
      <c r="B5" s="1669" t="s">
        <v>279</v>
      </c>
      <c r="C5" s="1545">
        <v>1</v>
      </c>
      <c r="D5" s="1558"/>
      <c r="E5" s="1577"/>
      <c r="F5" s="1548">
        <v>1</v>
      </c>
      <c r="G5" s="259"/>
      <c r="H5" s="259"/>
      <c r="O5" s="49"/>
    </row>
    <row r="6" spans="1:15" ht="20.25" customHeight="1">
      <c r="A6" s="50"/>
      <c r="B6" s="1669" t="s">
        <v>373</v>
      </c>
      <c r="C6" s="1079"/>
      <c r="D6" s="1561">
        <v>1</v>
      </c>
      <c r="E6" s="1544">
        <v>1</v>
      </c>
      <c r="F6" s="1578"/>
      <c r="G6" s="259"/>
      <c r="H6" s="259"/>
      <c r="O6" s="49"/>
    </row>
    <row r="7" spans="1:15" ht="20.25" customHeight="1">
      <c r="A7" s="50"/>
      <c r="B7" s="1669" t="s">
        <v>281</v>
      </c>
      <c r="C7" s="1545">
        <v>1</v>
      </c>
      <c r="D7" s="1558"/>
      <c r="E7" s="1577"/>
      <c r="F7" s="1548">
        <v>1</v>
      </c>
      <c r="G7" s="259"/>
      <c r="H7" s="259"/>
      <c r="O7" s="49"/>
    </row>
    <row r="8" spans="1:15" ht="20.25" customHeight="1">
      <c r="A8" s="50"/>
      <c r="B8" s="1670" t="s">
        <v>282</v>
      </c>
      <c r="C8" s="1545">
        <v>1</v>
      </c>
      <c r="D8" s="1558"/>
      <c r="E8" s="1544">
        <v>1</v>
      </c>
      <c r="F8" s="1578"/>
      <c r="G8" s="259"/>
      <c r="H8" s="259"/>
      <c r="O8" s="49" t="s">
        <v>69</v>
      </c>
    </row>
    <row r="9" spans="1:15" ht="20.25" customHeight="1">
      <c r="A9" s="50"/>
      <c r="B9" s="1670" t="s">
        <v>283</v>
      </c>
      <c r="C9" s="1545">
        <v>1</v>
      </c>
      <c r="D9" s="1558"/>
      <c r="E9" s="1544">
        <v>1</v>
      </c>
      <c r="F9" s="1578"/>
      <c r="G9" s="259"/>
      <c r="H9" s="259"/>
      <c r="O9" s="49"/>
    </row>
    <row r="10" spans="1:15" ht="20.25" customHeight="1">
      <c r="A10" s="50"/>
      <c r="B10" s="1670" t="s">
        <v>374</v>
      </c>
      <c r="C10" s="1079"/>
      <c r="D10" s="1561">
        <v>1</v>
      </c>
      <c r="E10" s="1544">
        <v>1</v>
      </c>
      <c r="F10" s="1578"/>
      <c r="G10" s="259"/>
      <c r="H10" s="259"/>
      <c r="O10" s="49"/>
    </row>
    <row r="11" spans="1:15" ht="20.25" customHeight="1">
      <c r="A11" s="50"/>
      <c r="B11" s="1670" t="s">
        <v>288</v>
      </c>
      <c r="C11" s="1079"/>
      <c r="D11" s="1561">
        <v>1</v>
      </c>
      <c r="E11" s="1577"/>
      <c r="F11" s="1548">
        <v>1</v>
      </c>
      <c r="G11" s="259"/>
      <c r="H11" s="259"/>
      <c r="O11" s="49"/>
    </row>
    <row r="12" spans="1:15" ht="20.25" customHeight="1">
      <c r="A12" s="50"/>
      <c r="B12" s="1674" t="s">
        <v>284</v>
      </c>
      <c r="C12" s="1079"/>
      <c r="D12" s="1561">
        <v>1</v>
      </c>
      <c r="E12" s="1577"/>
      <c r="F12" s="1548">
        <v>1</v>
      </c>
      <c r="G12" s="259"/>
      <c r="H12" s="259"/>
      <c r="O12" s="49"/>
    </row>
    <row r="13" spans="1:15" ht="20.25" customHeight="1">
      <c r="A13" s="50"/>
      <c r="B13" s="1671" t="s">
        <v>289</v>
      </c>
      <c r="C13" s="1079"/>
      <c r="D13" s="1561">
        <v>1</v>
      </c>
      <c r="E13" s="1577"/>
      <c r="F13" s="1548">
        <v>1</v>
      </c>
      <c r="G13" s="259"/>
      <c r="H13" s="259"/>
      <c r="O13" s="49"/>
    </row>
    <row r="14" spans="1:15" ht="20.25" customHeight="1">
      <c r="A14" s="50"/>
      <c r="B14" s="1672" t="s">
        <v>290</v>
      </c>
      <c r="C14" s="1545">
        <v>1</v>
      </c>
      <c r="D14" s="1558"/>
      <c r="E14" s="1544">
        <v>1</v>
      </c>
      <c r="F14" s="1578"/>
      <c r="G14" s="259"/>
      <c r="H14" s="259"/>
      <c r="O14" s="49"/>
    </row>
    <row r="15" spans="1:15" ht="20.25" customHeight="1">
      <c r="A15" s="50"/>
      <c r="B15" s="1672" t="s">
        <v>291</v>
      </c>
      <c r="C15" s="1079"/>
      <c r="D15" s="1561">
        <v>1</v>
      </c>
      <c r="E15" s="1577"/>
      <c r="F15" s="1548">
        <v>1</v>
      </c>
      <c r="G15" s="259"/>
      <c r="H15" s="259"/>
    </row>
    <row r="16" spans="1:15" ht="20.25" customHeight="1">
      <c r="A16" s="50"/>
      <c r="B16" s="1672" t="s">
        <v>292</v>
      </c>
      <c r="C16" s="1545">
        <v>1</v>
      </c>
      <c r="D16" s="1558"/>
      <c r="E16" s="1544">
        <v>1</v>
      </c>
      <c r="F16" s="1578"/>
      <c r="G16" s="259"/>
      <c r="H16" s="259"/>
    </row>
    <row r="17" spans="1:14" ht="20.25" customHeight="1">
      <c r="A17" s="50"/>
      <c r="B17" s="1672" t="s">
        <v>293</v>
      </c>
      <c r="C17" s="1079"/>
      <c r="D17" s="1561">
        <v>1</v>
      </c>
      <c r="E17" s="1577"/>
      <c r="F17" s="1548">
        <v>1</v>
      </c>
      <c r="G17" s="259"/>
      <c r="H17" s="259"/>
    </row>
    <row r="18" spans="1:14" ht="20.25" customHeight="1">
      <c r="A18" s="50"/>
      <c r="B18" s="1672" t="s">
        <v>295</v>
      </c>
      <c r="C18" s="1079"/>
      <c r="D18" s="1558"/>
      <c r="E18" s="1544">
        <v>1</v>
      </c>
      <c r="F18" s="1548">
        <v>1</v>
      </c>
      <c r="G18" s="259"/>
      <c r="H18" s="259"/>
      <c r="I18" s="49"/>
      <c r="M18"/>
      <c r="N18" s="1080"/>
    </row>
    <row r="19" spans="1:14" ht="20.25" customHeight="1">
      <c r="A19" s="50"/>
      <c r="B19" s="1672" t="s">
        <v>296</v>
      </c>
      <c r="C19" s="1545">
        <v>1</v>
      </c>
      <c r="D19" s="1561">
        <v>1</v>
      </c>
      <c r="E19" s="1577"/>
      <c r="F19" s="1578"/>
      <c r="G19" s="259"/>
      <c r="H19" s="259"/>
      <c r="I19" s="1574"/>
      <c r="J19" s="1554"/>
      <c r="K19" s="1554"/>
      <c r="L19" s="1554"/>
      <c r="M19"/>
      <c r="N19" s="1080"/>
    </row>
    <row r="20" spans="1:14" ht="20.25" customHeight="1">
      <c r="A20" s="50"/>
      <c r="B20" s="1672" t="s">
        <v>297</v>
      </c>
      <c r="C20" s="1079"/>
      <c r="D20" s="1561">
        <v>1</v>
      </c>
      <c r="E20" s="1577"/>
      <c r="F20" s="1548">
        <v>1</v>
      </c>
      <c r="G20" s="259"/>
      <c r="H20" s="259"/>
      <c r="M20" s="1080"/>
      <c r="N20" s="1080"/>
    </row>
    <row r="21" spans="1:14" ht="20.25" customHeight="1">
      <c r="A21" s="50"/>
      <c r="B21" s="1672" t="s">
        <v>298</v>
      </c>
      <c r="C21" s="1545">
        <v>1</v>
      </c>
      <c r="D21" s="1561">
        <v>1</v>
      </c>
      <c r="E21" s="1577"/>
      <c r="F21" s="1578"/>
      <c r="G21" s="259"/>
      <c r="H21" s="259"/>
      <c r="M21" s="49"/>
      <c r="N21" s="49"/>
    </row>
    <row r="22" spans="1:14" ht="20.25" customHeight="1">
      <c r="A22" s="50"/>
      <c r="B22" s="1672" t="s">
        <v>299</v>
      </c>
      <c r="C22" s="1079"/>
      <c r="D22" s="1561">
        <v>1</v>
      </c>
      <c r="E22" s="1544">
        <v>1</v>
      </c>
      <c r="F22" s="1578"/>
      <c r="G22" s="259"/>
      <c r="H22" s="259"/>
      <c r="N22" s="1080"/>
    </row>
    <row r="23" spans="1:14" ht="20.25" customHeight="1">
      <c r="A23" s="50"/>
      <c r="B23" s="1672" t="s">
        <v>300</v>
      </c>
      <c r="C23" s="1079"/>
      <c r="D23" s="1561">
        <v>1</v>
      </c>
      <c r="E23" s="1577"/>
      <c r="F23" s="1548">
        <v>1</v>
      </c>
      <c r="G23" s="259"/>
      <c r="H23" s="259"/>
      <c r="N23" s="1080"/>
    </row>
    <row r="24" spans="1:14" ht="20.25" customHeight="1">
      <c r="A24" s="50"/>
      <c r="B24" s="1672" t="s">
        <v>301</v>
      </c>
      <c r="C24" s="1545">
        <v>1</v>
      </c>
      <c r="D24" s="1558"/>
      <c r="E24" s="1544">
        <v>1</v>
      </c>
      <c r="F24" s="1578"/>
      <c r="G24" s="259"/>
      <c r="H24" s="259"/>
      <c r="N24" s="1080"/>
    </row>
    <row r="25" spans="1:14" ht="20.25" customHeight="1">
      <c r="A25" s="50"/>
      <c r="B25" s="1673" t="s">
        <v>303</v>
      </c>
      <c r="C25" s="1545">
        <v>1</v>
      </c>
      <c r="D25" s="1558"/>
      <c r="E25" s="1544">
        <v>1</v>
      </c>
      <c r="F25" s="1548">
        <v>1</v>
      </c>
      <c r="G25" s="49"/>
      <c r="H25" s="259"/>
    </row>
    <row r="26" spans="1:14" ht="18.75" customHeight="1">
      <c r="B26" s="50"/>
      <c r="C26" s="1579">
        <f>COUNT(C3:C25)</f>
        <v>11</v>
      </c>
      <c r="D26" s="1579">
        <f>COUNT(D3:D25)</f>
        <v>13</v>
      </c>
      <c r="E26" s="1579">
        <f>COUNT(E3:E25)</f>
        <v>11</v>
      </c>
      <c r="F26" s="1579">
        <f>COUNT(F3:F25)</f>
        <v>12</v>
      </c>
      <c r="G26" s="49"/>
      <c r="H26" s="258"/>
    </row>
    <row r="27" spans="1:14" ht="17.25" customHeight="1">
      <c r="A27" s="50"/>
      <c r="C27" s="50"/>
      <c r="D27" s="50"/>
      <c r="E27" s="50"/>
      <c r="H27" s="50"/>
      <c r="I27" s="2352"/>
      <c r="J27" s="2352"/>
      <c r="K27" s="49"/>
      <c r="N27" s="1080"/>
    </row>
    <row r="28" spans="1:14" ht="18.75" customHeight="1">
      <c r="A28" s="50"/>
      <c r="H28" s="50"/>
      <c r="I28" s="2352"/>
      <c r="J28" s="2352"/>
      <c r="K28" s="49"/>
      <c r="M28" s="1080"/>
      <c r="N28" s="1080"/>
    </row>
    <row r="29" spans="1:14" ht="15.75" customHeight="1">
      <c r="A29" s="50"/>
      <c r="H29" s="50"/>
      <c r="I29" s="1549"/>
      <c r="J29" s="2353" t="s">
        <v>375</v>
      </c>
      <c r="K29" s="2353"/>
      <c r="L29" s="2354"/>
    </row>
    <row r="30" spans="1:14" ht="15.75" customHeight="1">
      <c r="A30" s="50"/>
      <c r="H30" s="50"/>
      <c r="I30" s="1552" t="s">
        <v>376</v>
      </c>
      <c r="J30" s="1550" t="s">
        <v>377</v>
      </c>
      <c r="K30" s="1550"/>
      <c r="L30" s="1551"/>
    </row>
    <row r="31" spans="1:14" ht="15.75" customHeight="1">
      <c r="A31" s="50"/>
      <c r="H31" s="50"/>
      <c r="I31" s="1553" t="s">
        <v>378</v>
      </c>
      <c r="J31" s="1554" t="s">
        <v>379</v>
      </c>
      <c r="K31" s="1554"/>
      <c r="L31" s="1555"/>
    </row>
    <row r="32" spans="1:14" ht="15.75" customHeight="1">
      <c r="A32" s="50"/>
      <c r="H32" s="50"/>
      <c r="I32" s="1556" t="s">
        <v>380</v>
      </c>
      <c r="J32" s="2353" t="s">
        <v>381</v>
      </c>
      <c r="K32" s="2353"/>
      <c r="L32" s="2354"/>
    </row>
    <row r="33" spans="1:12" ht="15.75" customHeight="1">
      <c r="A33" s="50"/>
      <c r="H33" s="50"/>
    </row>
    <row r="34" spans="1:12" ht="15.75" customHeight="1">
      <c r="A34" s="50"/>
      <c r="H34" s="50"/>
    </row>
    <row r="35" spans="1:12" ht="15.75" customHeight="1">
      <c r="A35" s="50"/>
      <c r="H35" s="50"/>
    </row>
    <row r="36" spans="1:12" ht="15.75" customHeight="1">
      <c r="A36" s="50"/>
      <c r="H36" s="1081"/>
    </row>
    <row r="37" spans="1:12" ht="15.75" customHeight="1">
      <c r="A37" s="50"/>
      <c r="B37" s="2357" t="s">
        <v>382</v>
      </c>
      <c r="C37" s="2358"/>
      <c r="D37" s="2359"/>
      <c r="E37" s="2358"/>
      <c r="F37" s="2359"/>
      <c r="G37" s="2360"/>
      <c r="H37" s="1081"/>
    </row>
    <row r="38" spans="1:12" ht="15.75" customHeight="1">
      <c r="A38" s="50"/>
      <c r="B38" s="2355" t="s">
        <v>383</v>
      </c>
      <c r="C38" s="2361" t="s">
        <v>384</v>
      </c>
      <c r="D38" s="2363" t="s">
        <v>385</v>
      </c>
      <c r="E38" s="2365" t="s">
        <v>386</v>
      </c>
      <c r="F38" s="2363" t="s">
        <v>387</v>
      </c>
      <c r="G38" s="2365" t="s">
        <v>388</v>
      </c>
      <c r="H38" s="1081"/>
    </row>
    <row r="39" spans="1:12" ht="15.75" customHeight="1">
      <c r="A39" s="50"/>
      <c r="B39" s="2356"/>
      <c r="C39" s="2362"/>
      <c r="D39" s="2364"/>
      <c r="E39" s="2366"/>
      <c r="F39" s="2364"/>
      <c r="G39" s="2366"/>
      <c r="H39" s="1081"/>
    </row>
    <row r="40" spans="1:12" ht="15.75" customHeight="1">
      <c r="A40" s="50"/>
      <c r="B40" s="1586" t="s">
        <v>304</v>
      </c>
      <c r="C40" s="1570"/>
      <c r="D40" s="1580"/>
      <c r="E40" s="1580"/>
      <c r="F40" s="1581"/>
      <c r="G40" s="1581"/>
      <c r="H40" s="1081"/>
    </row>
    <row r="41" spans="1:12" ht="15.75" customHeight="1">
      <c r="A41" s="50"/>
      <c r="B41" s="1587" t="s">
        <v>305</v>
      </c>
      <c r="C41" s="1545"/>
      <c r="D41" s="1561"/>
      <c r="E41" s="1544"/>
      <c r="F41" s="1545"/>
      <c r="G41" s="1544"/>
      <c r="H41" s="1081"/>
    </row>
    <row r="42" spans="1:12" ht="15.75" customHeight="1">
      <c r="A42" s="50"/>
      <c r="B42" s="1587" t="s">
        <v>306</v>
      </c>
      <c r="C42" s="1570"/>
      <c r="D42" s="1582"/>
      <c r="E42" s="1583"/>
      <c r="F42" s="1581"/>
      <c r="G42" s="1584"/>
      <c r="H42" s="1081"/>
    </row>
    <row r="43" spans="1:12" ht="15.75" customHeight="1">
      <c r="A43" s="50"/>
      <c r="B43" s="1587" t="s">
        <v>307</v>
      </c>
      <c r="C43" s="1548"/>
      <c r="D43" s="1545"/>
      <c r="E43" s="1544"/>
      <c r="F43" s="1545"/>
      <c r="G43" s="1544"/>
      <c r="H43" s="176"/>
    </row>
    <row r="44" spans="1:12" ht="15.75" customHeight="1">
      <c r="A44" s="50"/>
      <c r="B44" s="1587" t="s">
        <v>308</v>
      </c>
      <c r="C44" s="1548"/>
      <c r="D44" s="1545"/>
      <c r="E44" s="1544"/>
      <c r="F44" s="1545"/>
      <c r="G44" s="1585"/>
      <c r="H44" s="176"/>
    </row>
    <row r="45" spans="1:12" ht="15.75" customHeight="1">
      <c r="A45" s="50"/>
      <c r="B45" s="1587" t="s">
        <v>309</v>
      </c>
      <c r="C45" s="1570"/>
      <c r="D45" s="1581"/>
      <c r="E45" s="1581"/>
      <c r="F45" s="1581"/>
      <c r="G45" s="1581"/>
      <c r="H45" s="176"/>
    </row>
    <row r="46" spans="1:12" ht="15.75" customHeight="1">
      <c r="B46" s="1587" t="s">
        <v>310</v>
      </c>
      <c r="C46" s="1570"/>
      <c r="D46" s="1581"/>
      <c r="E46" s="1581"/>
      <c r="F46" s="1581"/>
      <c r="G46" s="1581"/>
      <c r="H46" s="49"/>
    </row>
    <row r="47" spans="1:12" ht="15.75" customHeight="1">
      <c r="B47" s="1587" t="s">
        <v>311</v>
      </c>
      <c r="C47" s="1570"/>
      <c r="D47" s="1581"/>
      <c r="E47" s="1581"/>
      <c r="F47" s="1581"/>
      <c r="G47" s="1581"/>
      <c r="J47" s="15"/>
      <c r="L47" s="15"/>
    </row>
    <row r="48" spans="1:12" ht="15.75" customHeight="1">
      <c r="B48" s="1587" t="s">
        <v>312</v>
      </c>
      <c r="C48" s="1570"/>
      <c r="D48" s="1581"/>
      <c r="E48" s="1581"/>
      <c r="F48" s="1581"/>
      <c r="G48" s="1581"/>
      <c r="J48" s="15"/>
      <c r="L48" s="15"/>
    </row>
    <row r="49" spans="2:12" ht="15.75" customHeight="1">
      <c r="B49" s="1587" t="s">
        <v>313</v>
      </c>
      <c r="C49" s="1570"/>
      <c r="D49" s="1581"/>
      <c r="E49" s="1581"/>
      <c r="F49" s="1581"/>
      <c r="G49" s="1581"/>
      <c r="J49" s="15"/>
      <c r="L49" s="15"/>
    </row>
    <row r="50" spans="2:12" ht="15.75" customHeight="1">
      <c r="B50" s="1587" t="s">
        <v>314</v>
      </c>
      <c r="C50" s="1570"/>
      <c r="D50" s="1581"/>
      <c r="E50" s="1581"/>
      <c r="F50" s="1581"/>
      <c r="G50" s="1581"/>
      <c r="J50" s="15"/>
      <c r="L50" s="15"/>
    </row>
    <row r="51" spans="2:12" ht="15.75" customHeight="1">
      <c r="B51" s="1588" t="s">
        <v>291</v>
      </c>
      <c r="C51" s="1570"/>
      <c r="D51" s="1581"/>
      <c r="E51" s="1581"/>
      <c r="F51" s="1581"/>
      <c r="G51" s="1581"/>
      <c r="J51" s="15"/>
      <c r="L51" s="15"/>
    </row>
    <row r="52" spans="2:12" ht="15.75" customHeight="1">
      <c r="J52" s="15"/>
      <c r="L52" s="15"/>
    </row>
    <row r="53" spans="2:12" ht="15.75" customHeight="1">
      <c r="J53" s="15"/>
      <c r="L53" s="15"/>
    </row>
    <row r="54" spans="2:12" ht="15.75" customHeight="1">
      <c r="J54" s="15"/>
      <c r="L54" s="15"/>
    </row>
    <row r="55" spans="2:12" ht="15.75" customHeight="1">
      <c r="J55" s="15"/>
      <c r="L55" s="15"/>
    </row>
    <row r="56" spans="2:12" ht="15.75" customHeight="1">
      <c r="B56" s="15"/>
      <c r="C56" s="15"/>
      <c r="D56" s="15"/>
      <c r="E56" s="15"/>
      <c r="F56" s="49"/>
      <c r="J56" s="15"/>
      <c r="L56" s="15"/>
    </row>
    <row r="57" spans="2:12" ht="15.75" customHeight="1">
      <c r="B57" s="15"/>
      <c r="C57" s="15"/>
      <c r="D57" s="15"/>
      <c r="E57" s="15"/>
      <c r="F57" s="49"/>
      <c r="J57" s="15"/>
      <c r="L57" s="15"/>
    </row>
    <row r="58" spans="2:12" ht="15.75" customHeight="1">
      <c r="B58" s="15"/>
      <c r="C58" s="15"/>
      <c r="D58" s="15"/>
      <c r="E58" s="15"/>
      <c r="F58" s="49"/>
      <c r="J58" s="15"/>
      <c r="L58" s="15"/>
    </row>
    <row r="59" spans="2:12" ht="15.75" customHeight="1">
      <c r="B59" s="15"/>
      <c r="C59" s="15"/>
      <c r="D59" s="15"/>
      <c r="E59" s="15"/>
      <c r="F59" s="49"/>
      <c r="J59" s="15"/>
      <c r="L59" s="15"/>
    </row>
    <row r="60" spans="2:12" ht="15.75" customHeight="1">
      <c r="B60" s="15"/>
      <c r="C60" s="15"/>
      <c r="D60" s="15"/>
      <c r="E60" s="15"/>
      <c r="F60" s="49"/>
      <c r="J60" s="15"/>
      <c r="L60" s="15"/>
    </row>
    <row r="61" spans="2:12" ht="15.75" customHeight="1">
      <c r="B61" s="15"/>
      <c r="C61" s="15"/>
      <c r="D61" s="15"/>
      <c r="E61" s="15"/>
      <c r="F61" s="49"/>
      <c r="J61" s="15"/>
      <c r="L61" s="15"/>
    </row>
    <row r="62" spans="2:12" ht="15.75" customHeight="1">
      <c r="B62" s="15"/>
      <c r="C62" s="15"/>
      <c r="D62" s="15"/>
      <c r="E62" s="15"/>
      <c r="F62" s="49"/>
      <c r="J62" s="15"/>
      <c r="L62" s="15"/>
    </row>
    <row r="63" spans="2:12" ht="15.75" customHeight="1">
      <c r="B63" s="15"/>
      <c r="C63" s="15"/>
      <c r="D63" s="15"/>
      <c r="E63" s="15"/>
      <c r="F63" s="49"/>
      <c r="J63" s="15"/>
      <c r="L63" s="15"/>
    </row>
    <row r="64" spans="2:12" ht="15.75" customHeight="1">
      <c r="B64" s="15"/>
      <c r="C64" s="15"/>
      <c r="D64" s="15"/>
      <c r="E64" s="15"/>
      <c r="F64" s="49"/>
      <c r="J64" s="15"/>
      <c r="L64" s="15"/>
    </row>
    <row r="65" spans="2:12" ht="15.75" customHeight="1">
      <c r="B65" s="15"/>
      <c r="C65" s="15"/>
      <c r="D65" s="15"/>
      <c r="E65" s="15"/>
      <c r="F65" s="49"/>
      <c r="J65" s="15"/>
      <c r="L65" s="15"/>
    </row>
    <row r="66" spans="2:12" ht="15.75" customHeight="1">
      <c r="B66" s="15"/>
      <c r="C66" s="15"/>
      <c r="D66" s="15"/>
      <c r="E66" s="15"/>
      <c r="F66" s="49"/>
      <c r="J66" s="15"/>
      <c r="L66" s="15"/>
    </row>
    <row r="67" spans="2:12" ht="15.75" customHeight="1">
      <c r="B67" s="15"/>
      <c r="C67" s="15"/>
      <c r="D67" s="15"/>
      <c r="E67" s="15"/>
      <c r="F67" s="49"/>
      <c r="J67" s="15"/>
      <c r="L67" s="15"/>
    </row>
    <row r="68" spans="2:12" ht="15.75" customHeight="1">
      <c r="B68" s="15"/>
      <c r="C68" s="15"/>
      <c r="D68" s="15"/>
      <c r="E68" s="15"/>
      <c r="F68" s="49"/>
      <c r="J68" s="15"/>
      <c r="L68" s="15"/>
    </row>
    <row r="69" spans="2:12" ht="15.75" customHeight="1">
      <c r="B69" s="15"/>
      <c r="C69" s="15"/>
      <c r="D69" s="15"/>
      <c r="E69" s="15"/>
      <c r="F69" s="49"/>
      <c r="J69" s="15"/>
      <c r="L69" s="15"/>
    </row>
    <row r="70" spans="2:12" ht="15.75" customHeight="1">
      <c r="B70" s="15"/>
      <c r="C70" s="15"/>
      <c r="D70" s="15"/>
      <c r="E70" s="15"/>
      <c r="F70" s="49"/>
      <c r="J70" s="15"/>
      <c r="L70" s="15"/>
    </row>
    <row r="71" spans="2:12" ht="15.75" customHeight="1">
      <c r="B71" s="15"/>
      <c r="C71" s="15"/>
      <c r="D71" s="15"/>
      <c r="E71" s="15"/>
      <c r="F71" s="49"/>
      <c r="J71" s="15"/>
      <c r="L71" s="15"/>
    </row>
    <row r="72" spans="2:12" ht="15.75" customHeight="1">
      <c r="B72" s="15"/>
      <c r="C72" s="15"/>
      <c r="D72" s="15"/>
      <c r="E72" s="15"/>
      <c r="F72" s="49"/>
      <c r="J72" s="15"/>
      <c r="L72" s="15"/>
    </row>
    <row r="73" spans="2:12" ht="15.75" customHeight="1">
      <c r="B73" s="15"/>
      <c r="C73" s="15"/>
      <c r="D73" s="15"/>
      <c r="E73" s="15"/>
      <c r="F73" s="49"/>
      <c r="J73" s="15"/>
      <c r="L73" s="15"/>
    </row>
    <row r="74" spans="2:12" ht="15.75" customHeight="1">
      <c r="B74" s="15"/>
      <c r="C74" s="15"/>
      <c r="D74" s="15"/>
      <c r="E74" s="15"/>
      <c r="F74" s="49"/>
      <c r="J74" s="15"/>
      <c r="L74" s="15"/>
    </row>
    <row r="75" spans="2:12" ht="15.75" customHeight="1">
      <c r="B75" s="15"/>
      <c r="C75" s="15"/>
      <c r="D75" s="15"/>
      <c r="E75" s="15"/>
      <c r="F75" s="49"/>
      <c r="J75" s="15"/>
      <c r="L75" s="15"/>
    </row>
    <row r="76" spans="2:12" ht="15.75" customHeight="1">
      <c r="B76" s="15"/>
      <c r="C76" s="15"/>
      <c r="D76" s="15"/>
      <c r="E76" s="15"/>
      <c r="F76" s="49"/>
      <c r="J76" s="15"/>
      <c r="L76" s="15"/>
    </row>
    <row r="77" spans="2:12" ht="15.75" customHeight="1">
      <c r="B77" s="15"/>
      <c r="C77" s="15"/>
      <c r="D77" s="15"/>
      <c r="E77" s="15"/>
      <c r="F77" s="49"/>
      <c r="J77" s="15"/>
      <c r="L77" s="15"/>
    </row>
    <row r="78" spans="2:12" ht="15.75" customHeight="1">
      <c r="B78" s="15"/>
      <c r="C78" s="15"/>
      <c r="D78" s="15"/>
      <c r="E78" s="15"/>
      <c r="F78" s="49"/>
      <c r="J78" s="15"/>
      <c r="L78" s="15"/>
    </row>
    <row r="79" spans="2:12" ht="15.75" customHeight="1">
      <c r="B79" s="15"/>
      <c r="C79" s="15"/>
      <c r="D79" s="15"/>
      <c r="E79" s="15"/>
      <c r="F79" s="49"/>
      <c r="J79" s="15"/>
      <c r="L79" s="15"/>
    </row>
    <row r="80" spans="2:12" ht="15.75" customHeight="1">
      <c r="B80" s="15"/>
      <c r="C80" s="15"/>
      <c r="D80" s="15"/>
      <c r="E80" s="15"/>
      <c r="F80" s="49"/>
      <c r="J80" s="15"/>
      <c r="L80" s="15"/>
    </row>
    <row r="81" spans="2:12" ht="15.75" customHeight="1">
      <c r="B81" s="15"/>
      <c r="C81" s="15"/>
      <c r="D81" s="15"/>
      <c r="E81" s="15"/>
      <c r="F81" s="49"/>
      <c r="J81" s="15"/>
      <c r="L81" s="15"/>
    </row>
    <row r="82" spans="2:12" ht="15.75" customHeight="1">
      <c r="B82" s="15"/>
      <c r="C82" s="15"/>
      <c r="D82" s="15"/>
      <c r="E82" s="15"/>
      <c r="F82" s="49"/>
      <c r="J82" s="15"/>
      <c r="L82" s="15"/>
    </row>
    <row r="83" spans="2:12" ht="15.75" customHeight="1">
      <c r="B83" s="15"/>
      <c r="C83" s="15"/>
      <c r="D83" s="15"/>
      <c r="E83" s="15"/>
      <c r="F83" s="49"/>
      <c r="J83" s="15"/>
      <c r="L83" s="15"/>
    </row>
    <row r="84" spans="2:12" ht="15.75" customHeight="1">
      <c r="B84" s="15"/>
      <c r="C84" s="15"/>
      <c r="D84" s="15"/>
      <c r="E84" s="15"/>
      <c r="F84" s="49"/>
      <c r="J84" s="15"/>
      <c r="L84" s="15"/>
    </row>
    <row r="85" spans="2:12" ht="15.75" customHeight="1">
      <c r="B85" s="15"/>
      <c r="C85" s="15"/>
      <c r="D85" s="15"/>
      <c r="E85" s="15"/>
      <c r="F85" s="49"/>
      <c r="J85" s="15"/>
      <c r="L85" s="15"/>
    </row>
    <row r="86" spans="2:12" ht="15.75" customHeight="1">
      <c r="B86" s="15"/>
      <c r="C86" s="15"/>
      <c r="D86" s="15"/>
      <c r="E86" s="15"/>
      <c r="F86" s="49"/>
      <c r="J86" s="15"/>
      <c r="L86" s="15"/>
    </row>
    <row r="87" spans="2:12" ht="15.75" customHeight="1">
      <c r="B87" s="15"/>
      <c r="C87" s="15"/>
      <c r="D87" s="15"/>
      <c r="E87" s="15"/>
      <c r="F87" s="49"/>
      <c r="J87" s="15"/>
      <c r="L87" s="15"/>
    </row>
    <row r="88" spans="2:12" ht="15.75" customHeight="1">
      <c r="B88" s="15"/>
      <c r="C88" s="15"/>
      <c r="D88" s="15"/>
      <c r="E88" s="15"/>
      <c r="F88" s="49"/>
      <c r="J88" s="15"/>
      <c r="L88" s="15"/>
    </row>
    <row r="89" spans="2:12" ht="15.75" customHeight="1">
      <c r="B89" s="15"/>
      <c r="C89" s="15"/>
      <c r="D89" s="15"/>
      <c r="E89" s="15"/>
      <c r="F89" s="49"/>
      <c r="J89" s="15"/>
      <c r="L89" s="15"/>
    </row>
    <row r="90" spans="2:12" ht="15.75" customHeight="1">
      <c r="B90" s="15"/>
      <c r="C90" s="15"/>
      <c r="D90" s="15"/>
      <c r="E90" s="15"/>
      <c r="F90" s="49"/>
      <c r="J90" s="15"/>
      <c r="L90" s="15"/>
    </row>
    <row r="91" spans="2:12" ht="15.75" customHeight="1">
      <c r="B91" s="15"/>
      <c r="C91" s="15"/>
      <c r="D91" s="15"/>
      <c r="E91" s="15"/>
      <c r="F91" s="49"/>
      <c r="J91" s="15"/>
      <c r="L91" s="15"/>
    </row>
    <row r="92" spans="2:12" ht="15.75" customHeight="1">
      <c r="B92" s="15"/>
      <c r="C92" s="15"/>
      <c r="D92" s="15"/>
      <c r="E92" s="15"/>
      <c r="F92" s="49"/>
      <c r="J92" s="15"/>
      <c r="L92" s="15"/>
    </row>
    <row r="93" spans="2:12" ht="15.75" customHeight="1">
      <c r="B93" s="15"/>
      <c r="C93" s="15"/>
      <c r="D93" s="15"/>
      <c r="E93" s="15"/>
      <c r="F93" s="49"/>
      <c r="J93" s="15"/>
      <c r="L93" s="15"/>
    </row>
    <row r="94" spans="2:12" ht="15.75" customHeight="1">
      <c r="B94" s="15"/>
      <c r="C94" s="15"/>
      <c r="D94" s="15"/>
      <c r="E94" s="15"/>
      <c r="F94" s="49"/>
      <c r="J94" s="15"/>
      <c r="L94" s="15"/>
    </row>
    <row r="95" spans="2:12" ht="15.75" customHeight="1">
      <c r="B95" s="15"/>
      <c r="C95" s="15"/>
      <c r="D95" s="15"/>
      <c r="E95" s="15"/>
      <c r="F95" s="49"/>
      <c r="J95" s="15"/>
      <c r="L95" s="15"/>
    </row>
    <row r="96" spans="2:12" ht="15.75" customHeight="1">
      <c r="B96" s="15"/>
      <c r="C96" s="15"/>
      <c r="D96" s="15"/>
      <c r="E96" s="15"/>
      <c r="F96" s="49"/>
      <c r="J96" s="15"/>
      <c r="L96" s="15"/>
    </row>
    <row r="97" spans="2:12" ht="15.75" customHeight="1">
      <c r="B97" s="15"/>
      <c r="C97" s="15"/>
      <c r="D97" s="15"/>
      <c r="E97" s="15"/>
      <c r="F97" s="49"/>
      <c r="J97" s="15"/>
      <c r="L97" s="15"/>
    </row>
    <row r="98" spans="2:12" ht="15.75" customHeight="1">
      <c r="B98" s="15"/>
      <c r="C98" s="15"/>
      <c r="D98" s="15"/>
      <c r="E98" s="15"/>
      <c r="F98" s="49"/>
      <c r="J98" s="15"/>
      <c r="L98" s="15"/>
    </row>
    <row r="99" spans="2:12" ht="15.75" customHeight="1">
      <c r="B99" s="15"/>
      <c r="C99" s="15"/>
      <c r="D99" s="15"/>
      <c r="E99" s="15"/>
      <c r="F99" s="49"/>
      <c r="J99" s="15"/>
      <c r="L99" s="15"/>
    </row>
    <row r="100" spans="2:12" ht="15.75" customHeight="1">
      <c r="B100" s="15"/>
      <c r="C100" s="15"/>
      <c r="D100" s="15"/>
      <c r="E100" s="15"/>
      <c r="F100" s="49"/>
      <c r="J100" s="15"/>
      <c r="L100" s="15"/>
    </row>
    <row r="101" spans="2:12" ht="15.75" customHeight="1">
      <c r="B101" s="15"/>
      <c r="C101" s="15"/>
      <c r="D101" s="15"/>
      <c r="E101" s="15"/>
      <c r="F101" s="49"/>
      <c r="J101" s="15"/>
      <c r="L101" s="15"/>
    </row>
    <row r="102" spans="2:12" ht="15.75" customHeight="1">
      <c r="B102" s="15"/>
      <c r="C102" s="15"/>
      <c r="D102" s="15"/>
      <c r="E102" s="15"/>
      <c r="F102" s="49"/>
      <c r="J102" s="15"/>
      <c r="L102" s="15"/>
    </row>
    <row r="103" spans="2:12" ht="15.75" customHeight="1">
      <c r="B103" s="15"/>
      <c r="C103" s="15"/>
      <c r="D103" s="15"/>
      <c r="E103" s="15"/>
      <c r="F103" s="49"/>
      <c r="J103" s="15"/>
      <c r="L103" s="15"/>
    </row>
    <row r="104" spans="2:12" ht="15.75" customHeight="1">
      <c r="B104" s="15"/>
      <c r="C104" s="15"/>
      <c r="D104" s="15"/>
      <c r="E104" s="15"/>
      <c r="F104" s="49"/>
      <c r="J104" s="15"/>
      <c r="L104" s="15"/>
    </row>
    <row r="105" spans="2:12" ht="15.75" customHeight="1">
      <c r="B105" s="15"/>
      <c r="C105" s="15"/>
      <c r="D105" s="15"/>
      <c r="E105" s="15"/>
      <c r="F105" s="49"/>
      <c r="J105" s="15"/>
      <c r="L105" s="15"/>
    </row>
    <row r="106" spans="2:12" ht="15.75" customHeight="1">
      <c r="B106" s="15"/>
      <c r="C106" s="15"/>
      <c r="D106" s="15"/>
      <c r="E106" s="15"/>
      <c r="F106" s="49"/>
      <c r="J106" s="15"/>
      <c r="L106" s="15"/>
    </row>
    <row r="107" spans="2:12" ht="15.75" customHeight="1">
      <c r="B107" s="15"/>
      <c r="C107" s="15"/>
      <c r="D107" s="15"/>
      <c r="E107" s="15"/>
      <c r="F107" s="49"/>
      <c r="J107" s="15"/>
      <c r="L107" s="15"/>
    </row>
    <row r="108" spans="2:12" ht="15.75" customHeight="1">
      <c r="B108" s="15"/>
      <c r="C108" s="15"/>
      <c r="D108" s="15"/>
      <c r="E108" s="15"/>
      <c r="F108" s="49"/>
      <c r="J108" s="15"/>
      <c r="L108" s="15"/>
    </row>
    <row r="109" spans="2:12" ht="15.75" customHeight="1">
      <c r="B109" s="15"/>
      <c r="C109" s="15"/>
      <c r="D109" s="15"/>
      <c r="E109" s="15"/>
      <c r="F109" s="49"/>
      <c r="J109" s="15"/>
      <c r="L109" s="15"/>
    </row>
    <row r="110" spans="2:12" ht="15.75" customHeight="1">
      <c r="B110" s="15"/>
      <c r="C110" s="15"/>
      <c r="D110" s="15"/>
      <c r="E110" s="15"/>
      <c r="F110" s="49"/>
      <c r="J110" s="15"/>
      <c r="L110" s="15"/>
    </row>
    <row r="111" spans="2:12" ht="15.75" customHeight="1">
      <c r="B111" s="15"/>
      <c r="C111" s="15"/>
      <c r="D111" s="15"/>
      <c r="E111" s="15"/>
      <c r="F111" s="49"/>
      <c r="J111" s="15"/>
      <c r="L111" s="15"/>
    </row>
    <row r="112" spans="2:12" ht="15.75" customHeight="1">
      <c r="B112" s="15"/>
      <c r="C112" s="15"/>
      <c r="D112" s="15"/>
      <c r="E112" s="15"/>
      <c r="F112" s="49"/>
      <c r="J112" s="15"/>
      <c r="L112" s="15"/>
    </row>
    <row r="113" spans="2:12" ht="15.75" customHeight="1">
      <c r="B113" s="15"/>
      <c r="C113" s="15"/>
      <c r="D113" s="15"/>
      <c r="E113" s="15"/>
      <c r="F113" s="49"/>
      <c r="J113" s="15"/>
      <c r="L113" s="15"/>
    </row>
    <row r="114" spans="2:12" ht="15.75" customHeight="1">
      <c r="B114" s="15"/>
      <c r="C114" s="15"/>
      <c r="D114" s="15"/>
      <c r="E114" s="15"/>
      <c r="F114" s="49"/>
      <c r="J114" s="15"/>
      <c r="L114" s="15"/>
    </row>
    <row r="115" spans="2:12" ht="15.75" customHeight="1">
      <c r="B115" s="15"/>
      <c r="C115" s="15"/>
      <c r="D115" s="15"/>
      <c r="E115" s="15"/>
      <c r="F115" s="49"/>
      <c r="J115" s="15"/>
      <c r="L115" s="15"/>
    </row>
    <row r="116" spans="2:12" ht="15.75" customHeight="1">
      <c r="B116" s="15"/>
      <c r="C116" s="15"/>
      <c r="D116" s="15"/>
      <c r="E116" s="15"/>
      <c r="F116" s="49"/>
      <c r="J116" s="15"/>
      <c r="L116" s="15"/>
    </row>
    <row r="117" spans="2:12" ht="15.75" customHeight="1">
      <c r="B117" s="15"/>
      <c r="C117" s="15"/>
      <c r="D117" s="15"/>
      <c r="E117" s="15"/>
      <c r="F117" s="49"/>
      <c r="J117" s="15"/>
      <c r="L117" s="15"/>
    </row>
    <row r="118" spans="2:12" ht="15.75" customHeight="1">
      <c r="B118" s="15"/>
      <c r="C118" s="15"/>
      <c r="D118" s="15"/>
      <c r="E118" s="15"/>
      <c r="F118" s="49"/>
      <c r="J118" s="15"/>
      <c r="L118" s="15"/>
    </row>
    <row r="119" spans="2:12" ht="15.75" customHeight="1">
      <c r="B119" s="15"/>
      <c r="C119" s="15"/>
      <c r="D119" s="15"/>
      <c r="E119" s="15"/>
      <c r="F119" s="49"/>
      <c r="J119" s="15"/>
      <c r="L119" s="15"/>
    </row>
    <row r="120" spans="2:12" ht="15.75" customHeight="1">
      <c r="B120" s="15"/>
      <c r="C120" s="15"/>
      <c r="D120" s="15"/>
      <c r="E120" s="15"/>
      <c r="F120" s="49"/>
      <c r="J120" s="15"/>
      <c r="L120" s="15"/>
    </row>
    <row r="121" spans="2:12" ht="15.75" customHeight="1">
      <c r="B121" s="15"/>
      <c r="C121" s="15"/>
      <c r="D121" s="15"/>
      <c r="E121" s="15"/>
      <c r="F121" s="49"/>
      <c r="J121" s="15"/>
      <c r="L121" s="15"/>
    </row>
    <row r="122" spans="2:12" ht="15.75" customHeight="1">
      <c r="B122" s="15"/>
      <c r="C122" s="15"/>
      <c r="D122" s="15"/>
      <c r="E122" s="15"/>
      <c r="F122" s="49"/>
      <c r="J122" s="15"/>
      <c r="L122" s="15"/>
    </row>
    <row r="123" spans="2:12" ht="15.75" customHeight="1">
      <c r="B123" s="15"/>
      <c r="C123" s="15"/>
      <c r="D123" s="15"/>
      <c r="E123" s="15"/>
      <c r="F123" s="49"/>
      <c r="J123" s="15"/>
      <c r="L123" s="15"/>
    </row>
    <row r="124" spans="2:12" ht="15.75" customHeight="1">
      <c r="B124" s="15"/>
      <c r="C124" s="15"/>
      <c r="D124" s="15"/>
      <c r="E124" s="15"/>
      <c r="F124" s="49"/>
      <c r="J124" s="15"/>
      <c r="L124" s="15"/>
    </row>
    <row r="125" spans="2:12" ht="15.75" customHeight="1">
      <c r="B125" s="15"/>
      <c r="C125" s="15"/>
      <c r="D125" s="15"/>
      <c r="E125" s="15"/>
      <c r="F125" s="49"/>
      <c r="J125" s="15"/>
      <c r="L125" s="15"/>
    </row>
    <row r="126" spans="2:12" ht="15.75" customHeight="1">
      <c r="B126" s="15"/>
      <c r="C126" s="15"/>
      <c r="D126" s="15"/>
      <c r="E126" s="15"/>
      <c r="F126" s="49"/>
      <c r="J126" s="15"/>
      <c r="L126" s="15"/>
    </row>
    <row r="127" spans="2:12" ht="15.75" customHeight="1">
      <c r="B127" s="15"/>
      <c r="C127" s="15"/>
      <c r="D127" s="15"/>
      <c r="E127" s="15"/>
      <c r="F127" s="49"/>
      <c r="J127" s="15"/>
      <c r="L127" s="15"/>
    </row>
    <row r="128" spans="2:12" ht="15.75" customHeight="1">
      <c r="B128" s="15"/>
      <c r="C128" s="15"/>
      <c r="D128" s="15"/>
      <c r="E128" s="15"/>
      <c r="F128" s="49"/>
      <c r="J128" s="15"/>
      <c r="L128" s="15"/>
    </row>
    <row r="129" spans="2:12" ht="15.75" customHeight="1">
      <c r="B129" s="15"/>
      <c r="C129" s="15"/>
      <c r="D129" s="15"/>
      <c r="E129" s="15"/>
      <c r="F129" s="49"/>
      <c r="J129" s="15"/>
      <c r="L129" s="15"/>
    </row>
    <row r="130" spans="2:12" ht="15.75" customHeight="1">
      <c r="B130" s="15"/>
      <c r="C130" s="15"/>
      <c r="D130" s="15"/>
      <c r="E130" s="15"/>
      <c r="F130" s="49"/>
      <c r="J130" s="15"/>
      <c r="L130" s="15"/>
    </row>
    <row r="131" spans="2:12" ht="15.75" customHeight="1">
      <c r="B131" s="15"/>
      <c r="C131" s="15"/>
      <c r="D131" s="15"/>
      <c r="E131" s="15"/>
      <c r="F131" s="49"/>
      <c r="J131" s="15"/>
      <c r="L131" s="15"/>
    </row>
    <row r="132" spans="2:12" ht="15.75" customHeight="1">
      <c r="B132" s="15"/>
      <c r="C132" s="15"/>
      <c r="D132" s="15"/>
      <c r="E132" s="15"/>
      <c r="F132" s="49"/>
      <c r="J132" s="15"/>
      <c r="L132" s="15"/>
    </row>
    <row r="133" spans="2:12" ht="15.75" customHeight="1">
      <c r="B133" s="15"/>
      <c r="C133" s="15"/>
      <c r="D133" s="15"/>
      <c r="E133" s="15"/>
      <c r="F133" s="49"/>
      <c r="J133" s="15"/>
      <c r="L133" s="15"/>
    </row>
    <row r="134" spans="2:12" ht="15.75" customHeight="1">
      <c r="B134" s="15"/>
      <c r="C134" s="15"/>
      <c r="D134" s="15"/>
      <c r="E134" s="15"/>
      <c r="F134" s="49"/>
      <c r="J134" s="15"/>
      <c r="L134" s="15"/>
    </row>
    <row r="135" spans="2:12" ht="15.75" customHeight="1">
      <c r="B135" s="15"/>
      <c r="C135" s="15"/>
      <c r="D135" s="15"/>
      <c r="E135" s="15"/>
      <c r="F135" s="49"/>
      <c r="J135" s="15"/>
      <c r="L135" s="15"/>
    </row>
    <row r="136" spans="2:12" ht="15.75" customHeight="1">
      <c r="B136" s="15"/>
      <c r="C136" s="15"/>
      <c r="D136" s="15"/>
      <c r="E136" s="15"/>
      <c r="F136" s="49"/>
      <c r="J136" s="15"/>
      <c r="L136" s="15"/>
    </row>
    <row r="137" spans="2:12" ht="15.75" customHeight="1">
      <c r="B137" s="15"/>
      <c r="C137" s="15"/>
      <c r="D137" s="15"/>
      <c r="E137" s="15"/>
      <c r="F137" s="49"/>
      <c r="J137" s="15"/>
      <c r="L137" s="15"/>
    </row>
    <row r="138" spans="2:12" ht="15.75" customHeight="1">
      <c r="B138" s="15"/>
      <c r="C138" s="15"/>
      <c r="D138" s="15"/>
      <c r="E138" s="15"/>
      <c r="F138" s="49"/>
      <c r="J138" s="15"/>
      <c r="L138" s="15"/>
    </row>
    <row r="139" spans="2:12" ht="15.75" customHeight="1">
      <c r="B139" s="15"/>
      <c r="C139" s="15"/>
      <c r="D139" s="15"/>
      <c r="E139" s="15"/>
      <c r="F139" s="49"/>
      <c r="J139" s="15"/>
      <c r="L139" s="15"/>
    </row>
    <row r="140" spans="2:12" ht="15.75" customHeight="1">
      <c r="B140" s="15"/>
      <c r="C140" s="15"/>
      <c r="D140" s="15"/>
      <c r="E140" s="15"/>
      <c r="F140" s="49"/>
      <c r="J140" s="15"/>
      <c r="L140" s="15"/>
    </row>
    <row r="141" spans="2:12" ht="15.75" customHeight="1">
      <c r="B141" s="15"/>
      <c r="C141" s="15"/>
      <c r="D141" s="15"/>
      <c r="E141" s="15"/>
      <c r="F141" s="49"/>
      <c r="J141" s="15"/>
      <c r="L141" s="15"/>
    </row>
    <row r="142" spans="2:12" ht="15.75" customHeight="1">
      <c r="B142" s="15"/>
      <c r="C142" s="15"/>
      <c r="D142" s="15"/>
      <c r="E142" s="15"/>
      <c r="F142" s="49"/>
      <c r="J142" s="15"/>
      <c r="L142" s="15"/>
    </row>
    <row r="143" spans="2:12" ht="15.75" customHeight="1">
      <c r="B143" s="15"/>
      <c r="C143" s="15"/>
      <c r="D143" s="15"/>
      <c r="E143" s="15"/>
      <c r="F143" s="49"/>
      <c r="J143" s="15"/>
      <c r="L143" s="15"/>
    </row>
    <row r="144" spans="2:12" ht="15.75" customHeight="1">
      <c r="B144" s="15"/>
      <c r="C144" s="15"/>
      <c r="D144" s="15"/>
      <c r="E144" s="15"/>
      <c r="F144" s="49"/>
      <c r="J144" s="15"/>
      <c r="L144" s="15"/>
    </row>
    <row r="145" spans="2:12" ht="15.75" customHeight="1">
      <c r="B145" s="15"/>
      <c r="C145" s="15"/>
      <c r="D145" s="15"/>
      <c r="E145" s="15"/>
      <c r="F145" s="49"/>
      <c r="J145" s="15"/>
      <c r="L145" s="15"/>
    </row>
    <row r="146" spans="2:12" ht="15.75" customHeight="1">
      <c r="B146" s="15"/>
      <c r="C146" s="15"/>
      <c r="D146" s="15"/>
      <c r="E146" s="15"/>
      <c r="F146" s="49"/>
      <c r="J146" s="15"/>
      <c r="L146" s="15"/>
    </row>
    <row r="147" spans="2:12" ht="15.75" customHeight="1">
      <c r="B147" s="15"/>
      <c r="C147" s="15"/>
      <c r="D147" s="15"/>
      <c r="E147" s="15"/>
      <c r="F147" s="49"/>
      <c r="J147" s="15"/>
      <c r="L147" s="15"/>
    </row>
    <row r="148" spans="2:12" ht="15.75" customHeight="1">
      <c r="B148" s="15"/>
      <c r="C148" s="15"/>
      <c r="D148" s="15"/>
      <c r="E148" s="15"/>
      <c r="F148" s="49"/>
      <c r="J148" s="15"/>
      <c r="L148" s="15"/>
    </row>
    <row r="149" spans="2:12" ht="15.75" customHeight="1">
      <c r="B149" s="15"/>
      <c r="C149" s="15"/>
      <c r="D149" s="15"/>
      <c r="E149" s="15"/>
      <c r="F149" s="49"/>
      <c r="J149" s="15"/>
      <c r="L149" s="15"/>
    </row>
    <row r="150" spans="2:12" ht="15.75" customHeight="1">
      <c r="B150" s="15"/>
      <c r="C150" s="15"/>
      <c r="D150" s="15"/>
      <c r="E150" s="15"/>
      <c r="F150" s="49"/>
      <c r="J150" s="15"/>
      <c r="L150" s="15"/>
    </row>
    <row r="151" spans="2:12" ht="15.75" customHeight="1">
      <c r="B151" s="15"/>
      <c r="C151" s="15"/>
      <c r="D151" s="15"/>
      <c r="E151" s="15"/>
      <c r="F151" s="49"/>
      <c r="J151" s="15"/>
      <c r="L151" s="15"/>
    </row>
    <row r="152" spans="2:12" ht="15.75" customHeight="1">
      <c r="B152" s="15"/>
      <c r="C152" s="15"/>
      <c r="D152" s="15"/>
      <c r="E152" s="15"/>
      <c r="F152" s="49"/>
      <c r="J152" s="15"/>
      <c r="L152" s="15"/>
    </row>
    <row r="153" spans="2:12" ht="15.75" customHeight="1">
      <c r="B153" s="15"/>
      <c r="C153" s="15"/>
      <c r="D153" s="15"/>
      <c r="E153" s="15"/>
      <c r="F153" s="49"/>
      <c r="J153" s="15"/>
      <c r="L153" s="15"/>
    </row>
    <row r="154" spans="2:12" ht="15.75" customHeight="1">
      <c r="B154" s="15"/>
      <c r="C154" s="15"/>
      <c r="D154" s="15"/>
      <c r="E154" s="15"/>
      <c r="F154" s="49"/>
      <c r="J154" s="15"/>
      <c r="L154" s="15"/>
    </row>
    <row r="155" spans="2:12" ht="15.75" customHeight="1">
      <c r="B155" s="15"/>
      <c r="C155" s="15"/>
      <c r="D155" s="15"/>
      <c r="E155" s="15"/>
      <c r="F155" s="49"/>
      <c r="J155" s="15"/>
      <c r="L155" s="15"/>
    </row>
    <row r="156" spans="2:12" ht="15.75" customHeight="1">
      <c r="B156" s="15"/>
      <c r="C156" s="15"/>
      <c r="D156" s="15"/>
      <c r="E156" s="15"/>
      <c r="F156" s="49"/>
      <c r="J156" s="15"/>
      <c r="L156" s="15"/>
    </row>
    <row r="157" spans="2:12" ht="15.75" customHeight="1">
      <c r="B157" s="15"/>
      <c r="C157" s="15"/>
      <c r="D157" s="15"/>
      <c r="E157" s="15"/>
      <c r="F157" s="49"/>
      <c r="J157" s="15"/>
      <c r="L157" s="15"/>
    </row>
    <row r="158" spans="2:12" ht="15.75" customHeight="1">
      <c r="B158" s="15"/>
      <c r="C158" s="15"/>
      <c r="D158" s="15"/>
      <c r="E158" s="15"/>
      <c r="F158" s="49"/>
      <c r="J158" s="15"/>
      <c r="L158" s="15"/>
    </row>
    <row r="159" spans="2:12" ht="15.75" customHeight="1">
      <c r="B159" s="15"/>
      <c r="C159" s="15"/>
      <c r="D159" s="15"/>
      <c r="E159" s="15"/>
      <c r="F159" s="49"/>
      <c r="J159" s="15"/>
      <c r="L159" s="15"/>
    </row>
    <row r="160" spans="2:12" ht="15.75" customHeight="1">
      <c r="B160" s="15"/>
      <c r="C160" s="15"/>
      <c r="D160" s="15"/>
      <c r="E160" s="15"/>
      <c r="F160" s="49"/>
      <c r="J160" s="15"/>
      <c r="L160" s="15"/>
    </row>
    <row r="161" spans="2:12" ht="15.75" customHeight="1">
      <c r="B161" s="15"/>
      <c r="C161" s="15"/>
      <c r="D161" s="15"/>
      <c r="E161" s="15"/>
      <c r="F161" s="49"/>
      <c r="J161" s="15"/>
      <c r="L161" s="15"/>
    </row>
    <row r="162" spans="2:12" ht="15.75" customHeight="1">
      <c r="B162" s="15"/>
      <c r="C162" s="15"/>
      <c r="D162" s="15"/>
      <c r="E162" s="15"/>
      <c r="F162" s="49"/>
      <c r="J162" s="15"/>
      <c r="L162" s="15"/>
    </row>
    <row r="163" spans="2:12" ht="15.75" customHeight="1">
      <c r="B163" s="15"/>
      <c r="C163" s="15"/>
      <c r="D163" s="15"/>
      <c r="E163" s="15"/>
      <c r="F163" s="49"/>
      <c r="J163" s="15"/>
      <c r="L163" s="15"/>
    </row>
    <row r="164" spans="2:12" ht="15.75" customHeight="1">
      <c r="B164" s="15"/>
      <c r="C164" s="15"/>
      <c r="D164" s="15"/>
      <c r="E164" s="15"/>
      <c r="F164" s="49"/>
      <c r="J164" s="15"/>
      <c r="L164" s="15"/>
    </row>
    <row r="165" spans="2:12" ht="15.75" customHeight="1">
      <c r="B165" s="15"/>
      <c r="C165" s="15"/>
      <c r="D165" s="15"/>
      <c r="E165" s="15"/>
      <c r="F165" s="49"/>
      <c r="J165" s="15"/>
      <c r="L165" s="15"/>
    </row>
    <row r="166" spans="2:12" ht="15.75" customHeight="1">
      <c r="B166" s="15"/>
      <c r="C166" s="15"/>
      <c r="D166" s="15"/>
      <c r="E166" s="15"/>
      <c r="F166" s="49"/>
      <c r="J166" s="15"/>
      <c r="L166" s="15"/>
    </row>
    <row r="167" spans="2:12" ht="15.75" customHeight="1">
      <c r="B167" s="15"/>
      <c r="C167" s="15"/>
      <c r="D167" s="15"/>
      <c r="E167" s="15"/>
      <c r="F167" s="49"/>
      <c r="J167" s="15"/>
      <c r="L167" s="15"/>
    </row>
    <row r="168" spans="2:12" ht="15.75" customHeight="1">
      <c r="B168" s="15"/>
      <c r="C168" s="15"/>
      <c r="D168" s="15"/>
      <c r="E168" s="15"/>
      <c r="F168" s="49"/>
      <c r="J168" s="15"/>
      <c r="L168" s="15"/>
    </row>
    <row r="169" spans="2:12" ht="15.75" customHeight="1">
      <c r="B169" s="15"/>
      <c r="C169" s="15"/>
      <c r="D169" s="15"/>
      <c r="E169" s="15"/>
      <c r="F169" s="49"/>
      <c r="J169" s="15"/>
      <c r="L169" s="15"/>
    </row>
    <row r="170" spans="2:12" ht="15.75" customHeight="1">
      <c r="B170" s="15"/>
      <c r="C170" s="15"/>
      <c r="D170" s="15"/>
      <c r="E170" s="15"/>
      <c r="F170" s="49"/>
      <c r="J170" s="15"/>
      <c r="L170" s="15"/>
    </row>
    <row r="171" spans="2:12" ht="15.75" customHeight="1">
      <c r="B171" s="15"/>
      <c r="C171" s="15"/>
      <c r="D171" s="15"/>
      <c r="E171" s="15"/>
      <c r="F171" s="49"/>
      <c r="J171" s="15"/>
      <c r="L171" s="15"/>
    </row>
    <row r="172" spans="2:12" ht="15.75" customHeight="1">
      <c r="B172" s="15"/>
      <c r="C172" s="15"/>
      <c r="D172" s="15"/>
      <c r="E172" s="15"/>
      <c r="F172" s="49"/>
      <c r="J172" s="15"/>
      <c r="L172" s="15"/>
    </row>
    <row r="173" spans="2:12" ht="15.75" customHeight="1">
      <c r="B173" s="15"/>
      <c r="C173" s="15"/>
      <c r="D173" s="15"/>
      <c r="E173" s="15"/>
      <c r="F173" s="49"/>
      <c r="J173" s="15"/>
      <c r="L173" s="15"/>
    </row>
    <row r="174" spans="2:12" ht="15.75" customHeight="1">
      <c r="B174" s="15"/>
      <c r="C174" s="15"/>
      <c r="D174" s="15"/>
      <c r="E174" s="15"/>
      <c r="F174" s="49"/>
      <c r="J174" s="15"/>
      <c r="L174" s="15"/>
    </row>
    <row r="175" spans="2:12" ht="15.75" customHeight="1">
      <c r="B175" s="15"/>
      <c r="C175" s="15"/>
      <c r="D175" s="15"/>
      <c r="E175" s="15"/>
      <c r="F175" s="49"/>
      <c r="J175" s="15"/>
      <c r="L175" s="15"/>
    </row>
    <row r="176" spans="2:12" ht="15.75" customHeight="1">
      <c r="B176" s="15"/>
      <c r="C176" s="15"/>
      <c r="D176" s="15"/>
      <c r="E176" s="15"/>
      <c r="F176" s="49"/>
      <c r="J176" s="15"/>
      <c r="L176" s="15"/>
    </row>
    <row r="177" spans="2:12" ht="15.75" customHeight="1">
      <c r="B177" s="15"/>
      <c r="C177" s="15"/>
      <c r="D177" s="15"/>
      <c r="E177" s="15"/>
      <c r="F177" s="49"/>
      <c r="J177" s="15"/>
      <c r="L177" s="15"/>
    </row>
    <row r="178" spans="2:12" ht="15.75" customHeight="1">
      <c r="B178" s="15"/>
      <c r="C178" s="15"/>
      <c r="D178" s="15"/>
      <c r="E178" s="15"/>
      <c r="F178" s="49"/>
      <c r="J178" s="15"/>
      <c r="L178" s="15"/>
    </row>
    <row r="179" spans="2:12" ht="15.75" customHeight="1">
      <c r="B179" s="15"/>
      <c r="C179" s="15"/>
      <c r="D179" s="15"/>
      <c r="E179" s="15"/>
      <c r="F179" s="49"/>
      <c r="J179" s="15"/>
      <c r="L179" s="15"/>
    </row>
    <row r="180" spans="2:12" ht="15.75" customHeight="1">
      <c r="B180" s="15"/>
      <c r="C180" s="15"/>
      <c r="D180" s="15"/>
      <c r="E180" s="15"/>
      <c r="F180" s="49"/>
      <c r="J180" s="15"/>
      <c r="L180" s="15"/>
    </row>
    <row r="181" spans="2:12" ht="15.75" customHeight="1">
      <c r="B181" s="15"/>
      <c r="C181" s="15"/>
      <c r="D181" s="15"/>
      <c r="E181" s="15"/>
      <c r="F181" s="49"/>
      <c r="J181" s="15"/>
      <c r="L181" s="15"/>
    </row>
    <row r="182" spans="2:12" ht="15.75" customHeight="1">
      <c r="B182" s="15"/>
      <c r="C182" s="15"/>
      <c r="D182" s="15"/>
      <c r="E182" s="15"/>
      <c r="F182" s="49"/>
      <c r="J182" s="15"/>
      <c r="L182" s="15"/>
    </row>
    <row r="183" spans="2:12" ht="15.75" customHeight="1">
      <c r="B183" s="15"/>
      <c r="C183" s="15"/>
      <c r="D183" s="15"/>
      <c r="E183" s="15"/>
      <c r="F183" s="49"/>
      <c r="J183" s="15"/>
      <c r="L183" s="15"/>
    </row>
    <row r="184" spans="2:12" ht="15.75" customHeight="1">
      <c r="B184" s="15"/>
      <c r="C184" s="15"/>
      <c r="D184" s="15"/>
      <c r="E184" s="15"/>
      <c r="F184" s="49"/>
      <c r="J184" s="15"/>
      <c r="L184" s="15"/>
    </row>
    <row r="185" spans="2:12" ht="15.75" customHeight="1">
      <c r="B185" s="15"/>
      <c r="C185" s="15"/>
      <c r="D185" s="15"/>
      <c r="E185" s="15"/>
      <c r="F185" s="49"/>
      <c r="J185" s="15"/>
      <c r="L185" s="15"/>
    </row>
    <row r="186" spans="2:12" ht="15.75" customHeight="1">
      <c r="B186" s="15"/>
      <c r="C186" s="15"/>
      <c r="D186" s="15"/>
      <c r="E186" s="15"/>
      <c r="F186" s="49"/>
      <c r="J186" s="15"/>
      <c r="L186" s="15"/>
    </row>
    <row r="187" spans="2:12" ht="15.75" customHeight="1">
      <c r="B187" s="15"/>
      <c r="C187" s="15"/>
      <c r="D187" s="15"/>
      <c r="E187" s="15"/>
      <c r="F187" s="49"/>
      <c r="J187" s="15"/>
      <c r="L187" s="15"/>
    </row>
    <row r="188" spans="2:12" ht="15.75" customHeight="1">
      <c r="B188" s="15"/>
      <c r="C188" s="15"/>
      <c r="D188" s="15"/>
      <c r="E188" s="15"/>
      <c r="F188" s="49"/>
      <c r="J188" s="15"/>
      <c r="L188" s="15"/>
    </row>
    <row r="189" spans="2:12" ht="15.75" customHeight="1">
      <c r="B189" s="15"/>
      <c r="C189" s="15"/>
      <c r="D189" s="15"/>
      <c r="E189" s="15"/>
      <c r="F189" s="49"/>
      <c r="J189" s="15"/>
      <c r="L189" s="15"/>
    </row>
    <row r="190" spans="2:12" ht="15.75" customHeight="1">
      <c r="B190" s="15"/>
      <c r="C190" s="15"/>
      <c r="D190" s="15"/>
      <c r="E190" s="15"/>
      <c r="F190" s="49"/>
      <c r="J190" s="15"/>
      <c r="L190" s="15"/>
    </row>
    <row r="191" spans="2:12" ht="15.75" customHeight="1">
      <c r="B191" s="15"/>
      <c r="C191" s="15"/>
      <c r="D191" s="15"/>
      <c r="E191" s="15"/>
      <c r="F191" s="49"/>
      <c r="J191" s="15"/>
      <c r="L191" s="15"/>
    </row>
    <row r="192" spans="2:12" ht="15.75" customHeight="1">
      <c r="B192" s="15"/>
      <c r="C192" s="15"/>
      <c r="D192" s="15"/>
      <c r="E192" s="15"/>
      <c r="F192" s="49"/>
      <c r="J192" s="15"/>
      <c r="L192" s="15"/>
    </row>
    <row r="193" spans="2:12" ht="15.75" customHeight="1">
      <c r="B193" s="15"/>
      <c r="C193" s="15"/>
      <c r="D193" s="15"/>
      <c r="E193" s="15"/>
      <c r="F193" s="49"/>
      <c r="J193" s="15"/>
      <c r="L193" s="15"/>
    </row>
    <row r="194" spans="2:12" ht="15.75" customHeight="1">
      <c r="B194" s="15"/>
      <c r="C194" s="15"/>
      <c r="D194" s="15"/>
      <c r="E194" s="15"/>
      <c r="F194" s="49"/>
      <c r="J194" s="15"/>
      <c r="L194" s="15"/>
    </row>
    <row r="195" spans="2:12" ht="15.75" customHeight="1">
      <c r="B195" s="15"/>
      <c r="C195" s="15"/>
      <c r="D195" s="15"/>
      <c r="E195" s="15"/>
      <c r="F195" s="49"/>
      <c r="J195" s="15"/>
      <c r="L195" s="15"/>
    </row>
    <row r="196" spans="2:12" ht="15.75" customHeight="1">
      <c r="B196" s="15"/>
      <c r="C196" s="15"/>
      <c r="D196" s="15"/>
      <c r="E196" s="15"/>
      <c r="F196" s="49"/>
      <c r="J196" s="15"/>
      <c r="L196" s="15"/>
    </row>
    <row r="197" spans="2:12" ht="15.75" customHeight="1">
      <c r="B197" s="15"/>
      <c r="C197" s="15"/>
      <c r="D197" s="15"/>
      <c r="E197" s="15"/>
      <c r="F197" s="49"/>
      <c r="J197" s="15"/>
      <c r="L197" s="15"/>
    </row>
    <row r="198" spans="2:12" ht="15.75" customHeight="1">
      <c r="B198" s="15"/>
      <c r="C198" s="15"/>
      <c r="D198" s="15"/>
      <c r="E198" s="15"/>
      <c r="F198" s="49"/>
      <c r="J198" s="15"/>
      <c r="L198" s="15"/>
    </row>
    <row r="199" spans="2:12" ht="15.75" customHeight="1">
      <c r="B199" s="15"/>
      <c r="C199" s="15"/>
      <c r="D199" s="15"/>
      <c r="E199" s="15"/>
      <c r="F199" s="49"/>
      <c r="J199" s="15"/>
      <c r="L199" s="15"/>
    </row>
    <row r="200" spans="2:12" ht="15.75" customHeight="1">
      <c r="B200" s="15"/>
      <c r="C200" s="15"/>
      <c r="D200" s="15"/>
      <c r="E200" s="15"/>
      <c r="F200" s="49"/>
      <c r="J200" s="15"/>
      <c r="L200" s="15"/>
    </row>
    <row r="201" spans="2:12" ht="15.75" customHeight="1">
      <c r="B201" s="15"/>
      <c r="C201" s="15"/>
      <c r="D201" s="15"/>
      <c r="E201" s="15"/>
      <c r="F201" s="49"/>
      <c r="J201" s="15"/>
      <c r="L201" s="15"/>
    </row>
    <row r="202" spans="2:12" ht="15.75" customHeight="1">
      <c r="B202" s="15"/>
      <c r="C202" s="15"/>
      <c r="D202" s="15"/>
      <c r="E202" s="15"/>
      <c r="F202" s="49"/>
      <c r="J202" s="15"/>
      <c r="L202" s="15"/>
    </row>
    <row r="203" spans="2:12" ht="15.75" customHeight="1">
      <c r="B203" s="15"/>
      <c r="C203" s="15"/>
      <c r="D203" s="15"/>
      <c r="E203" s="15"/>
      <c r="F203" s="49"/>
      <c r="J203" s="15"/>
      <c r="L203" s="15"/>
    </row>
    <row r="204" spans="2:12" ht="15.75" customHeight="1">
      <c r="B204" s="15"/>
      <c r="C204" s="15"/>
      <c r="D204" s="15"/>
      <c r="E204" s="15"/>
      <c r="F204" s="49"/>
      <c r="J204" s="15"/>
      <c r="L204" s="15"/>
    </row>
    <row r="205" spans="2:12" ht="15.75" customHeight="1">
      <c r="B205" s="15"/>
      <c r="C205" s="15"/>
      <c r="D205" s="15"/>
      <c r="E205" s="15"/>
      <c r="F205" s="49"/>
      <c r="J205" s="15"/>
      <c r="L205" s="15"/>
    </row>
    <row r="206" spans="2:12" ht="15.75" customHeight="1">
      <c r="B206" s="15"/>
      <c r="C206" s="15"/>
      <c r="D206" s="15"/>
      <c r="E206" s="15"/>
      <c r="F206" s="49"/>
      <c r="J206" s="15"/>
      <c r="L206" s="15"/>
    </row>
    <row r="207" spans="2:12" ht="15.75" customHeight="1">
      <c r="B207" s="15"/>
      <c r="C207" s="15"/>
      <c r="D207" s="15"/>
      <c r="E207" s="15"/>
      <c r="F207" s="49"/>
      <c r="J207" s="15"/>
      <c r="L207" s="15"/>
    </row>
    <row r="208" spans="2:12" ht="15.75" customHeight="1">
      <c r="B208" s="15"/>
      <c r="C208" s="15"/>
      <c r="D208" s="15"/>
      <c r="E208" s="15"/>
      <c r="F208" s="49"/>
      <c r="J208" s="15"/>
      <c r="L208" s="15"/>
    </row>
    <row r="209" spans="2:12" ht="15.75" customHeight="1">
      <c r="B209" s="15"/>
      <c r="C209" s="15"/>
      <c r="D209" s="15"/>
      <c r="E209" s="15"/>
      <c r="F209" s="49"/>
      <c r="J209" s="15"/>
      <c r="L209" s="15"/>
    </row>
    <row r="210" spans="2:12" ht="15.75" customHeight="1">
      <c r="B210" s="15"/>
      <c r="C210" s="15"/>
      <c r="D210" s="15"/>
      <c r="E210" s="15"/>
      <c r="F210" s="49"/>
      <c r="J210" s="15"/>
      <c r="L210" s="15"/>
    </row>
    <row r="211" spans="2:12" ht="15.75" customHeight="1">
      <c r="B211" s="15"/>
      <c r="C211" s="15"/>
      <c r="D211" s="15"/>
      <c r="E211" s="15"/>
      <c r="F211" s="49"/>
      <c r="J211" s="15"/>
      <c r="L211" s="15"/>
    </row>
    <row r="212" spans="2:12" ht="15.75" customHeight="1">
      <c r="B212" s="15"/>
      <c r="C212" s="15"/>
      <c r="D212" s="15"/>
      <c r="E212" s="15"/>
      <c r="F212" s="49"/>
      <c r="J212" s="15"/>
      <c r="L212" s="15"/>
    </row>
    <row r="213" spans="2:12" ht="15.75" customHeight="1">
      <c r="B213" s="15"/>
      <c r="C213" s="15"/>
      <c r="D213" s="15"/>
      <c r="E213" s="15"/>
      <c r="F213" s="49"/>
      <c r="J213" s="15"/>
      <c r="L213" s="15"/>
    </row>
    <row r="214" spans="2:12" ht="15.75" customHeight="1">
      <c r="B214" s="15"/>
      <c r="C214" s="15"/>
      <c r="D214" s="15"/>
      <c r="E214" s="15"/>
      <c r="F214" s="49"/>
      <c r="J214" s="15"/>
      <c r="L214" s="15"/>
    </row>
    <row r="215" spans="2:12" ht="15.75" customHeight="1">
      <c r="B215" s="15"/>
      <c r="C215" s="15"/>
      <c r="D215" s="15"/>
      <c r="E215" s="15"/>
      <c r="F215" s="49"/>
      <c r="J215" s="15"/>
      <c r="L215" s="15"/>
    </row>
    <row r="216" spans="2:12" ht="15.75" customHeight="1">
      <c r="B216" s="15"/>
      <c r="C216" s="15"/>
      <c r="D216" s="15"/>
      <c r="E216" s="15"/>
      <c r="F216" s="49"/>
      <c r="J216" s="15"/>
      <c r="L216" s="15"/>
    </row>
    <row r="217" spans="2:12" ht="15.75" customHeight="1">
      <c r="B217" s="15"/>
      <c r="C217" s="15"/>
      <c r="D217" s="15"/>
      <c r="E217" s="15"/>
      <c r="F217" s="49"/>
      <c r="J217" s="15"/>
      <c r="L217" s="15"/>
    </row>
    <row r="218" spans="2:12" ht="15.75" customHeight="1">
      <c r="B218" s="15"/>
      <c r="C218" s="15"/>
      <c r="D218" s="15"/>
      <c r="E218" s="15"/>
      <c r="F218" s="49"/>
      <c r="J218" s="15"/>
      <c r="L218" s="15"/>
    </row>
    <row r="219" spans="2:12" ht="15.75" customHeight="1">
      <c r="B219" s="15"/>
      <c r="C219" s="15"/>
      <c r="D219" s="15"/>
      <c r="E219" s="15"/>
      <c r="F219" s="49"/>
      <c r="J219" s="15"/>
      <c r="L219" s="15"/>
    </row>
    <row r="220" spans="2:12" ht="15.75" customHeight="1">
      <c r="B220" s="15"/>
      <c r="C220" s="15"/>
      <c r="D220" s="15"/>
      <c r="E220" s="15"/>
      <c r="F220" s="49"/>
      <c r="J220" s="15"/>
      <c r="L220" s="15"/>
    </row>
    <row r="221" spans="2:12" ht="15.75" customHeight="1">
      <c r="B221" s="15"/>
      <c r="C221" s="15"/>
      <c r="D221" s="15"/>
      <c r="E221" s="15"/>
      <c r="F221" s="49"/>
      <c r="J221" s="15"/>
      <c r="L221" s="15"/>
    </row>
    <row r="222" spans="2:12" ht="15.75" customHeight="1">
      <c r="B222" s="15"/>
      <c r="C222" s="15"/>
      <c r="D222" s="15"/>
      <c r="E222" s="15"/>
      <c r="F222" s="49"/>
      <c r="J222" s="15"/>
      <c r="L222" s="15"/>
    </row>
    <row r="223" spans="2:12" ht="15.75" customHeight="1">
      <c r="B223" s="15"/>
      <c r="C223" s="15"/>
      <c r="D223" s="15"/>
      <c r="E223" s="15"/>
      <c r="F223" s="49"/>
      <c r="J223" s="15"/>
      <c r="L223" s="15"/>
    </row>
    <row r="224" spans="2:12" ht="15.75" customHeight="1">
      <c r="B224" s="15"/>
      <c r="C224" s="15"/>
      <c r="D224" s="15"/>
      <c r="E224" s="15"/>
      <c r="F224" s="49"/>
      <c r="J224" s="15"/>
      <c r="L224" s="15"/>
    </row>
    <row r="225" spans="2:12" ht="15.75" customHeight="1">
      <c r="B225" s="15"/>
      <c r="C225" s="15"/>
      <c r="D225" s="15"/>
      <c r="E225" s="15"/>
      <c r="F225" s="49"/>
      <c r="J225" s="15"/>
      <c r="L225" s="15"/>
    </row>
    <row r="226" spans="2:12" ht="15.75" customHeight="1">
      <c r="B226" s="15"/>
      <c r="C226" s="15"/>
      <c r="D226" s="15"/>
      <c r="E226" s="15"/>
      <c r="F226" s="49"/>
      <c r="J226" s="15"/>
      <c r="L226" s="15"/>
    </row>
    <row r="227" spans="2:12" ht="15.75" customHeight="1">
      <c r="B227" s="15"/>
      <c r="C227" s="15"/>
      <c r="D227" s="15"/>
      <c r="E227" s="15"/>
      <c r="F227" s="49"/>
      <c r="J227" s="15"/>
      <c r="L227" s="15"/>
    </row>
    <row r="228" spans="2:12" ht="15.75" customHeight="1">
      <c r="B228" s="15"/>
      <c r="C228" s="15"/>
      <c r="D228" s="15"/>
      <c r="E228" s="15"/>
      <c r="F228" s="49"/>
      <c r="J228" s="15"/>
      <c r="L228" s="15"/>
    </row>
    <row r="229" spans="2:12" ht="15.75" customHeight="1">
      <c r="B229" s="15"/>
      <c r="C229" s="15"/>
      <c r="D229" s="15"/>
      <c r="E229" s="15"/>
      <c r="F229" s="49"/>
      <c r="J229" s="15"/>
      <c r="L229" s="15"/>
    </row>
    <row r="230" spans="2:12" ht="15.75" customHeight="1">
      <c r="B230" s="15"/>
      <c r="C230" s="15"/>
      <c r="D230" s="15"/>
      <c r="E230" s="15"/>
      <c r="F230" s="49"/>
      <c r="J230" s="15"/>
      <c r="L230" s="15"/>
    </row>
    <row r="231" spans="2:12" ht="15.75" customHeight="1">
      <c r="B231" s="15"/>
      <c r="C231" s="15"/>
      <c r="D231" s="15"/>
      <c r="E231" s="15"/>
      <c r="F231" s="49"/>
      <c r="J231" s="15"/>
      <c r="L231" s="15"/>
    </row>
    <row r="232" spans="2:12" ht="15.75" customHeight="1">
      <c r="B232" s="15"/>
      <c r="C232" s="15"/>
      <c r="D232" s="15"/>
      <c r="E232" s="15"/>
      <c r="F232" s="49"/>
      <c r="J232" s="15"/>
      <c r="L232" s="15"/>
    </row>
    <row r="233" spans="2:12" ht="15.75" customHeight="1">
      <c r="B233" s="15"/>
      <c r="C233" s="15"/>
      <c r="D233" s="15"/>
      <c r="E233" s="15"/>
      <c r="F233" s="49"/>
      <c r="J233" s="15"/>
      <c r="L233" s="15"/>
    </row>
    <row r="234" spans="2:12" ht="15.75" customHeight="1">
      <c r="B234" s="15"/>
      <c r="C234" s="15"/>
      <c r="D234" s="15"/>
      <c r="E234" s="15"/>
      <c r="F234" s="49"/>
      <c r="J234" s="15"/>
      <c r="L234" s="15"/>
    </row>
    <row r="235" spans="2:12" ht="15.75" customHeight="1">
      <c r="B235" s="15"/>
      <c r="C235" s="15"/>
      <c r="D235" s="15"/>
      <c r="E235" s="15"/>
      <c r="F235" s="49"/>
      <c r="J235" s="15"/>
      <c r="L235" s="15"/>
    </row>
    <row r="236" spans="2:12" ht="15.75" customHeight="1">
      <c r="B236" s="15"/>
      <c r="C236" s="15"/>
      <c r="D236" s="15"/>
      <c r="E236" s="15"/>
      <c r="F236" s="49"/>
      <c r="J236" s="15"/>
      <c r="L236" s="15"/>
    </row>
    <row r="237" spans="2:12" ht="15.75" customHeight="1">
      <c r="B237" s="15"/>
      <c r="C237" s="15"/>
      <c r="D237" s="15"/>
      <c r="E237" s="15"/>
      <c r="F237" s="49"/>
      <c r="J237" s="15"/>
      <c r="L237" s="15"/>
    </row>
    <row r="238" spans="2:12" ht="15.75" customHeight="1">
      <c r="B238" s="15"/>
      <c r="C238" s="15"/>
      <c r="D238" s="15"/>
      <c r="E238" s="15"/>
      <c r="F238" s="49"/>
      <c r="J238" s="15"/>
      <c r="L238" s="15"/>
    </row>
    <row r="239" spans="2:12" ht="15.75" customHeight="1">
      <c r="B239" s="15"/>
      <c r="C239" s="15"/>
      <c r="D239" s="15"/>
      <c r="E239" s="15"/>
      <c r="F239" s="49"/>
      <c r="J239" s="15"/>
      <c r="L239" s="15"/>
    </row>
    <row r="240" spans="2:12" ht="15.75" customHeight="1">
      <c r="B240" s="15"/>
      <c r="C240" s="15"/>
      <c r="D240" s="15"/>
      <c r="E240" s="15"/>
      <c r="F240" s="49"/>
      <c r="J240" s="15"/>
      <c r="L240" s="15"/>
    </row>
    <row r="241" spans="2:12" ht="15.75" customHeight="1">
      <c r="B241" s="15"/>
      <c r="C241" s="15"/>
      <c r="D241" s="15"/>
      <c r="E241" s="15"/>
      <c r="F241" s="49"/>
      <c r="J241" s="15"/>
      <c r="L241" s="15"/>
    </row>
    <row r="242" spans="2:12" ht="15.75" customHeight="1">
      <c r="B242" s="15"/>
      <c r="C242" s="15"/>
      <c r="D242" s="15"/>
      <c r="E242" s="15"/>
      <c r="F242" s="49"/>
      <c r="J242" s="15"/>
      <c r="L242" s="15"/>
    </row>
    <row r="243" spans="2:12" ht="15.75" customHeight="1">
      <c r="B243" s="15"/>
      <c r="C243" s="15"/>
      <c r="D243" s="15"/>
      <c r="E243" s="15"/>
      <c r="F243" s="49"/>
      <c r="J243" s="15"/>
      <c r="L243" s="15"/>
    </row>
    <row r="244" spans="2:12" ht="15.75" customHeight="1">
      <c r="B244" s="15"/>
      <c r="C244" s="15"/>
      <c r="D244" s="15"/>
      <c r="E244" s="15"/>
      <c r="F244" s="49"/>
      <c r="J244" s="15"/>
      <c r="L244" s="15"/>
    </row>
    <row r="245" spans="2:12" ht="15.75" customHeight="1">
      <c r="B245" s="15"/>
      <c r="C245" s="15"/>
      <c r="D245" s="15"/>
      <c r="E245" s="15"/>
      <c r="F245" s="49"/>
      <c r="J245" s="15"/>
      <c r="L245" s="15"/>
    </row>
    <row r="246" spans="2:12" ht="15.75" customHeight="1">
      <c r="B246" s="15"/>
      <c r="C246" s="15"/>
      <c r="D246" s="15"/>
      <c r="E246" s="15"/>
      <c r="F246" s="49"/>
      <c r="J246" s="15"/>
      <c r="L246" s="15"/>
    </row>
    <row r="247" spans="2:12" ht="15.75" customHeight="1">
      <c r="B247" s="15"/>
      <c r="C247" s="15"/>
      <c r="D247" s="15"/>
      <c r="E247" s="15"/>
      <c r="F247" s="49"/>
      <c r="J247" s="15"/>
      <c r="L247" s="15"/>
    </row>
    <row r="248" spans="2:12" ht="15.75" customHeight="1">
      <c r="B248" s="15"/>
      <c r="C248" s="15"/>
      <c r="D248" s="15"/>
      <c r="E248" s="15"/>
      <c r="F248" s="49"/>
      <c r="J248" s="15"/>
      <c r="L248" s="15"/>
    </row>
    <row r="249" spans="2:12" ht="15.75" customHeight="1">
      <c r="B249" s="15"/>
      <c r="C249" s="15"/>
      <c r="D249" s="15"/>
      <c r="E249" s="15"/>
      <c r="F249" s="49"/>
      <c r="J249" s="15"/>
      <c r="L249" s="15"/>
    </row>
    <row r="250" spans="2:12" ht="15.75" customHeight="1">
      <c r="B250" s="15"/>
      <c r="C250" s="15"/>
      <c r="D250" s="15"/>
      <c r="E250" s="15"/>
      <c r="F250" s="49"/>
      <c r="J250" s="15"/>
      <c r="L250" s="15"/>
    </row>
    <row r="251" spans="2:12" ht="15.75" customHeight="1">
      <c r="B251" s="15"/>
      <c r="C251" s="15"/>
      <c r="D251" s="15"/>
      <c r="E251" s="15"/>
      <c r="F251" s="49"/>
      <c r="J251" s="15"/>
      <c r="L251" s="15"/>
    </row>
    <row r="252" spans="2:12" ht="15.75" customHeight="1">
      <c r="B252" s="15"/>
      <c r="C252" s="15"/>
      <c r="D252" s="15"/>
      <c r="E252" s="15"/>
      <c r="F252" s="49"/>
      <c r="J252" s="15"/>
      <c r="L252" s="15"/>
    </row>
    <row r="253" spans="2:12" ht="15.75" customHeight="1">
      <c r="B253" s="15"/>
      <c r="C253" s="15"/>
      <c r="D253" s="15"/>
      <c r="E253" s="15"/>
      <c r="F253" s="49"/>
      <c r="J253" s="15"/>
      <c r="L253" s="15"/>
    </row>
    <row r="254" spans="2:12" ht="15.75" customHeight="1">
      <c r="B254" s="15"/>
      <c r="C254" s="15"/>
      <c r="D254" s="15"/>
      <c r="E254" s="15"/>
      <c r="F254" s="49"/>
      <c r="J254" s="15"/>
      <c r="L254" s="15"/>
    </row>
    <row r="255" spans="2:12" ht="15.75" customHeight="1">
      <c r="B255" s="15"/>
      <c r="C255" s="15"/>
      <c r="D255" s="15"/>
      <c r="E255" s="15"/>
      <c r="F255" s="49"/>
      <c r="J255" s="15"/>
      <c r="L255" s="15"/>
    </row>
    <row r="256" spans="2:12" ht="15.75" customHeight="1">
      <c r="B256" s="15"/>
      <c r="C256" s="15"/>
      <c r="D256" s="15"/>
      <c r="E256" s="15"/>
      <c r="F256" s="49"/>
      <c r="J256" s="15"/>
      <c r="L256" s="15"/>
    </row>
    <row r="257" spans="2:12" ht="15.75" customHeight="1">
      <c r="B257" s="15"/>
      <c r="C257" s="15"/>
      <c r="D257" s="15"/>
      <c r="E257" s="15"/>
      <c r="F257" s="49"/>
      <c r="J257" s="15"/>
      <c r="L257" s="15"/>
    </row>
    <row r="258" spans="2:12" ht="15.75" customHeight="1">
      <c r="B258" s="15"/>
      <c r="C258" s="15"/>
      <c r="D258" s="15"/>
      <c r="E258" s="15"/>
      <c r="F258" s="49"/>
      <c r="J258" s="15"/>
      <c r="L258" s="15"/>
    </row>
    <row r="259" spans="2:12" ht="15.75" customHeight="1">
      <c r="B259" s="15"/>
      <c r="C259" s="15"/>
      <c r="D259" s="15"/>
      <c r="E259" s="15"/>
      <c r="F259" s="49"/>
      <c r="J259" s="15"/>
      <c r="L259" s="15"/>
    </row>
    <row r="260" spans="2:12" ht="15.75" customHeight="1">
      <c r="B260" s="15"/>
      <c r="C260" s="15"/>
      <c r="D260" s="15"/>
      <c r="E260" s="15"/>
      <c r="F260" s="49"/>
      <c r="J260" s="15"/>
      <c r="L260" s="15"/>
    </row>
    <row r="261" spans="2:12" ht="15.75" customHeight="1">
      <c r="B261" s="15"/>
      <c r="C261" s="15"/>
      <c r="D261" s="15"/>
      <c r="E261" s="15"/>
      <c r="F261" s="49"/>
      <c r="J261" s="15"/>
      <c r="L261" s="15"/>
    </row>
    <row r="262" spans="2:12" ht="15.75" customHeight="1">
      <c r="B262" s="15"/>
      <c r="C262" s="15"/>
      <c r="D262" s="15"/>
      <c r="E262" s="15"/>
      <c r="F262" s="49"/>
      <c r="J262" s="15"/>
      <c r="L262" s="15"/>
    </row>
    <row r="263" spans="2:12" ht="15.75" customHeight="1">
      <c r="B263" s="15"/>
      <c r="C263" s="15"/>
      <c r="D263" s="15"/>
      <c r="E263" s="15"/>
      <c r="F263" s="49"/>
      <c r="J263" s="15"/>
      <c r="L263" s="15"/>
    </row>
    <row r="264" spans="2:12" ht="15.75" customHeight="1">
      <c r="B264" s="15"/>
      <c r="C264" s="15"/>
      <c r="D264" s="15"/>
      <c r="E264" s="15"/>
      <c r="F264" s="49"/>
      <c r="J264" s="15"/>
      <c r="L264" s="15"/>
    </row>
    <row r="265" spans="2:12" ht="15.75" customHeight="1">
      <c r="B265" s="15"/>
      <c r="C265" s="15"/>
      <c r="D265" s="15"/>
      <c r="E265" s="15"/>
      <c r="F265" s="49"/>
      <c r="J265" s="15"/>
      <c r="L265" s="15"/>
    </row>
    <row r="266" spans="2:12" ht="15.75" customHeight="1">
      <c r="B266" s="15"/>
      <c r="C266" s="15"/>
      <c r="D266" s="15"/>
      <c r="E266" s="15"/>
      <c r="F266" s="49"/>
      <c r="J266" s="15"/>
      <c r="L266" s="15"/>
    </row>
    <row r="267" spans="2:12" ht="15.75" customHeight="1">
      <c r="B267" s="15"/>
      <c r="C267" s="15"/>
      <c r="D267" s="15"/>
      <c r="E267" s="15"/>
      <c r="F267" s="49"/>
      <c r="J267" s="15"/>
      <c r="L267" s="15"/>
    </row>
    <row r="268" spans="2:12" ht="15.75" customHeight="1">
      <c r="B268" s="15"/>
      <c r="C268" s="15"/>
      <c r="D268" s="15"/>
      <c r="E268" s="15"/>
      <c r="F268" s="49"/>
      <c r="J268" s="15"/>
      <c r="L268" s="15"/>
    </row>
    <row r="269" spans="2:12" ht="15.75" customHeight="1">
      <c r="B269" s="15"/>
      <c r="C269" s="15"/>
      <c r="D269" s="15"/>
      <c r="E269" s="15"/>
      <c r="F269" s="49"/>
      <c r="J269" s="15"/>
      <c r="L269" s="15"/>
    </row>
    <row r="270" spans="2:12" ht="15.75" customHeight="1">
      <c r="B270" s="15"/>
      <c r="C270" s="15"/>
      <c r="D270" s="15"/>
      <c r="E270" s="15"/>
      <c r="F270" s="49"/>
      <c r="J270" s="15"/>
      <c r="L270" s="15"/>
    </row>
    <row r="271" spans="2:12" ht="15.75" customHeight="1">
      <c r="B271" s="15"/>
      <c r="C271" s="15"/>
      <c r="D271" s="15"/>
      <c r="E271" s="15"/>
      <c r="F271" s="49"/>
      <c r="J271" s="15"/>
      <c r="L271" s="15"/>
    </row>
    <row r="272" spans="2:12" ht="15.75" customHeight="1">
      <c r="B272" s="15"/>
      <c r="C272" s="15"/>
      <c r="D272" s="15"/>
      <c r="E272" s="15"/>
      <c r="F272" s="49"/>
      <c r="J272" s="15"/>
      <c r="L272" s="15"/>
    </row>
    <row r="273" spans="2:12" ht="15.75" customHeight="1">
      <c r="B273" s="15"/>
      <c r="C273" s="15"/>
      <c r="D273" s="15"/>
      <c r="E273" s="15"/>
      <c r="F273" s="49"/>
      <c r="J273" s="15"/>
      <c r="L273" s="15"/>
    </row>
    <row r="274" spans="2:12" ht="15.75" customHeight="1">
      <c r="B274" s="15"/>
      <c r="C274" s="15"/>
      <c r="D274" s="15"/>
      <c r="E274" s="15"/>
      <c r="F274" s="49"/>
      <c r="J274" s="15"/>
      <c r="L274" s="15"/>
    </row>
    <row r="275" spans="2:12" ht="15.75" customHeight="1">
      <c r="B275" s="15"/>
      <c r="C275" s="15"/>
      <c r="D275" s="15"/>
      <c r="E275" s="15"/>
      <c r="F275" s="49"/>
      <c r="J275" s="15"/>
      <c r="L275" s="15"/>
    </row>
    <row r="276" spans="2:12" ht="15.75" customHeight="1">
      <c r="B276" s="15"/>
      <c r="C276" s="15"/>
      <c r="D276" s="15"/>
      <c r="E276" s="15"/>
      <c r="F276" s="49"/>
      <c r="J276" s="15"/>
      <c r="L276" s="15"/>
    </row>
    <row r="277" spans="2:12" ht="15.75" customHeight="1">
      <c r="B277" s="15"/>
      <c r="C277" s="15"/>
      <c r="D277" s="15"/>
      <c r="E277" s="15"/>
      <c r="F277" s="49"/>
      <c r="J277" s="15"/>
      <c r="L277" s="15"/>
    </row>
    <row r="278" spans="2:12" ht="15.75" customHeight="1">
      <c r="B278" s="15"/>
      <c r="C278" s="15"/>
      <c r="D278" s="15"/>
      <c r="E278" s="15"/>
      <c r="F278" s="49"/>
      <c r="J278" s="15"/>
      <c r="L278" s="15"/>
    </row>
    <row r="279" spans="2:12" ht="15.75" customHeight="1">
      <c r="B279" s="15"/>
      <c r="C279" s="15"/>
      <c r="D279" s="15"/>
      <c r="E279" s="15"/>
      <c r="F279" s="49"/>
      <c r="J279" s="15"/>
      <c r="L279" s="15"/>
    </row>
    <row r="280" spans="2:12" ht="15.75" customHeight="1">
      <c r="B280" s="15"/>
      <c r="C280" s="15"/>
      <c r="D280" s="15"/>
      <c r="E280" s="15"/>
      <c r="F280" s="49"/>
      <c r="J280" s="15"/>
      <c r="L280" s="15"/>
    </row>
    <row r="281" spans="2:12" ht="15.75" customHeight="1">
      <c r="B281" s="15"/>
      <c r="C281" s="15"/>
      <c r="D281" s="15"/>
      <c r="E281" s="15"/>
      <c r="F281" s="49"/>
      <c r="J281" s="15"/>
      <c r="L281" s="15"/>
    </row>
    <row r="282" spans="2:12" ht="15.75" customHeight="1">
      <c r="B282" s="15"/>
      <c r="C282" s="15"/>
      <c r="D282" s="15"/>
      <c r="E282" s="15"/>
      <c r="F282" s="49"/>
      <c r="J282" s="15"/>
      <c r="L282" s="15"/>
    </row>
    <row r="283" spans="2:12" ht="15.75" customHeight="1">
      <c r="B283" s="15"/>
      <c r="C283" s="15"/>
      <c r="D283" s="15"/>
      <c r="E283" s="15"/>
      <c r="F283" s="49"/>
      <c r="J283" s="15"/>
      <c r="L283" s="15"/>
    </row>
    <row r="284" spans="2:12" ht="15.75" customHeight="1">
      <c r="B284" s="15"/>
      <c r="C284" s="15"/>
      <c r="D284" s="15"/>
      <c r="E284" s="15"/>
      <c r="F284" s="49"/>
      <c r="J284" s="15"/>
      <c r="L284" s="15"/>
    </row>
    <row r="285" spans="2:12" ht="15.75" customHeight="1">
      <c r="B285" s="15"/>
      <c r="C285" s="15"/>
      <c r="D285" s="15"/>
      <c r="E285" s="15"/>
      <c r="F285" s="49"/>
      <c r="J285" s="15"/>
      <c r="L285" s="15"/>
    </row>
    <row r="286" spans="2:12" ht="15.75" customHeight="1">
      <c r="B286" s="15"/>
      <c r="C286" s="15"/>
      <c r="D286" s="15"/>
      <c r="E286" s="15"/>
      <c r="F286" s="49"/>
      <c r="J286" s="15"/>
      <c r="L286" s="15"/>
    </row>
    <row r="287" spans="2:12" ht="15.75" customHeight="1">
      <c r="B287" s="15"/>
      <c r="C287" s="15"/>
      <c r="D287" s="15"/>
      <c r="E287" s="15"/>
      <c r="F287" s="49"/>
      <c r="J287" s="15"/>
      <c r="L287" s="15"/>
    </row>
    <row r="288" spans="2:12" ht="15.75" customHeight="1">
      <c r="B288" s="15"/>
      <c r="C288" s="15"/>
      <c r="D288" s="15"/>
      <c r="E288" s="15"/>
      <c r="F288" s="49"/>
      <c r="J288" s="15"/>
      <c r="L288" s="15"/>
    </row>
    <row r="289" spans="2:12" ht="15.75" customHeight="1">
      <c r="B289" s="15"/>
      <c r="C289" s="15"/>
      <c r="D289" s="15"/>
      <c r="E289" s="15"/>
      <c r="F289" s="49"/>
      <c r="J289" s="15"/>
      <c r="L289" s="15"/>
    </row>
    <row r="290" spans="2:12" ht="15.75" customHeight="1">
      <c r="B290" s="15"/>
      <c r="C290" s="15"/>
      <c r="D290" s="15"/>
      <c r="E290" s="15"/>
      <c r="F290" s="49"/>
      <c r="J290" s="15"/>
      <c r="L290" s="15"/>
    </row>
    <row r="291" spans="2:12" ht="15.75" customHeight="1">
      <c r="B291" s="15"/>
      <c r="C291" s="15"/>
      <c r="D291" s="15"/>
      <c r="E291" s="15"/>
      <c r="F291" s="49"/>
      <c r="J291" s="15"/>
      <c r="L291" s="15"/>
    </row>
    <row r="292" spans="2:12" ht="15.75" customHeight="1">
      <c r="B292" s="15"/>
      <c r="C292" s="15"/>
      <c r="D292" s="15"/>
      <c r="E292" s="15"/>
      <c r="F292" s="49"/>
      <c r="J292" s="15"/>
      <c r="L292" s="15"/>
    </row>
    <row r="293" spans="2:12" ht="15.75" customHeight="1">
      <c r="B293" s="15"/>
      <c r="C293" s="15"/>
      <c r="D293" s="15"/>
      <c r="E293" s="15"/>
      <c r="F293" s="49"/>
      <c r="J293" s="15"/>
      <c r="L293" s="15"/>
    </row>
    <row r="294" spans="2:12" ht="15.75" customHeight="1">
      <c r="B294" s="15"/>
      <c r="C294" s="15"/>
      <c r="D294" s="15"/>
      <c r="E294" s="15"/>
      <c r="F294" s="49"/>
      <c r="J294" s="15"/>
      <c r="L294" s="15"/>
    </row>
    <row r="295" spans="2:12" ht="15.75" customHeight="1">
      <c r="B295" s="15"/>
      <c r="C295" s="15"/>
      <c r="D295" s="15"/>
      <c r="E295" s="15"/>
      <c r="F295" s="49"/>
      <c r="J295" s="15"/>
      <c r="L295" s="15"/>
    </row>
    <row r="296" spans="2:12" ht="15.75" customHeight="1">
      <c r="B296" s="15"/>
      <c r="C296" s="15"/>
      <c r="D296" s="15"/>
      <c r="E296" s="15"/>
      <c r="F296" s="49"/>
      <c r="J296" s="15"/>
      <c r="L296" s="15"/>
    </row>
    <row r="297" spans="2:12" ht="15.75" customHeight="1">
      <c r="B297" s="15"/>
      <c r="C297" s="15"/>
      <c r="D297" s="15"/>
      <c r="E297" s="15"/>
      <c r="F297" s="49"/>
      <c r="J297" s="15"/>
      <c r="L297" s="15"/>
    </row>
    <row r="298" spans="2:12" ht="15.75" customHeight="1">
      <c r="B298" s="15"/>
      <c r="C298" s="15"/>
      <c r="D298" s="15"/>
      <c r="E298" s="15"/>
      <c r="F298" s="49"/>
      <c r="J298" s="15"/>
      <c r="L298" s="15"/>
    </row>
    <row r="299" spans="2:12" ht="15.75" customHeight="1">
      <c r="B299" s="15"/>
      <c r="C299" s="15"/>
      <c r="D299" s="15"/>
      <c r="E299" s="15"/>
      <c r="F299" s="49"/>
      <c r="J299" s="15"/>
      <c r="L299" s="15"/>
    </row>
    <row r="300" spans="2:12" ht="15.75" customHeight="1">
      <c r="B300" s="15"/>
      <c r="C300" s="15"/>
      <c r="D300" s="15"/>
      <c r="E300" s="15"/>
      <c r="F300" s="49"/>
      <c r="J300" s="15"/>
      <c r="L300" s="15"/>
    </row>
    <row r="301" spans="2:12" ht="15.75" customHeight="1">
      <c r="B301" s="15"/>
      <c r="C301" s="15"/>
      <c r="D301" s="15"/>
      <c r="E301" s="15"/>
      <c r="F301" s="49"/>
      <c r="J301" s="15"/>
      <c r="L301" s="15"/>
    </row>
    <row r="302" spans="2:12" ht="15.75" customHeight="1">
      <c r="B302" s="15"/>
      <c r="C302" s="15"/>
      <c r="D302" s="15"/>
      <c r="E302" s="15"/>
      <c r="F302" s="49"/>
      <c r="J302" s="15"/>
      <c r="L302" s="15"/>
    </row>
    <row r="303" spans="2:12" ht="15.75" customHeight="1">
      <c r="B303" s="15"/>
      <c r="C303" s="15"/>
      <c r="D303" s="15"/>
      <c r="E303" s="15"/>
      <c r="F303" s="49"/>
      <c r="J303" s="15"/>
      <c r="L303" s="15"/>
    </row>
    <row r="304" spans="2:12" ht="15.75" customHeight="1">
      <c r="B304" s="15"/>
      <c r="C304" s="15"/>
      <c r="D304" s="15"/>
      <c r="E304" s="15"/>
      <c r="F304" s="49"/>
      <c r="J304" s="15"/>
      <c r="L304" s="15"/>
    </row>
    <row r="305" spans="2:12" ht="15.75" customHeight="1">
      <c r="B305" s="15"/>
      <c r="C305" s="15"/>
      <c r="D305" s="15"/>
      <c r="E305" s="15"/>
      <c r="F305" s="49"/>
      <c r="J305" s="15"/>
      <c r="L305" s="15"/>
    </row>
    <row r="306" spans="2:12" ht="15.75" customHeight="1">
      <c r="B306" s="15"/>
      <c r="C306" s="15"/>
      <c r="D306" s="15"/>
      <c r="E306" s="15"/>
      <c r="F306" s="49"/>
      <c r="J306" s="15"/>
      <c r="L306" s="15"/>
    </row>
    <row r="307" spans="2:12" ht="15.75" customHeight="1">
      <c r="B307" s="15"/>
      <c r="C307" s="15"/>
      <c r="D307" s="15"/>
      <c r="E307" s="15"/>
      <c r="F307" s="49"/>
      <c r="J307" s="15"/>
      <c r="L307" s="15"/>
    </row>
    <row r="308" spans="2:12" ht="15.75" customHeight="1">
      <c r="B308" s="15"/>
      <c r="C308" s="15"/>
      <c r="D308" s="15"/>
      <c r="E308" s="15"/>
      <c r="F308" s="49"/>
      <c r="J308" s="15"/>
      <c r="L308" s="15"/>
    </row>
    <row r="309" spans="2:12" ht="15.75" customHeight="1">
      <c r="B309" s="15"/>
      <c r="C309" s="15"/>
      <c r="D309" s="15"/>
      <c r="E309" s="15"/>
      <c r="F309" s="49"/>
      <c r="J309" s="15"/>
      <c r="L309" s="15"/>
    </row>
    <row r="310" spans="2:12" ht="15.75" customHeight="1">
      <c r="B310" s="15"/>
      <c r="C310" s="15"/>
      <c r="D310" s="15"/>
      <c r="E310" s="15"/>
      <c r="F310" s="49"/>
      <c r="J310" s="15"/>
      <c r="L310" s="15"/>
    </row>
    <row r="311" spans="2:12" ht="15.75" customHeight="1">
      <c r="B311" s="15"/>
      <c r="C311" s="15"/>
      <c r="D311" s="15"/>
      <c r="E311" s="15"/>
      <c r="F311" s="49"/>
      <c r="J311" s="15"/>
      <c r="L311" s="15"/>
    </row>
    <row r="312" spans="2:12" ht="15.75" customHeight="1">
      <c r="B312" s="15"/>
      <c r="C312" s="15"/>
      <c r="D312" s="15"/>
      <c r="E312" s="15"/>
      <c r="F312" s="49"/>
      <c r="J312" s="15"/>
      <c r="L312" s="15"/>
    </row>
    <row r="313" spans="2:12" ht="15.75" customHeight="1">
      <c r="B313" s="15"/>
      <c r="C313" s="15"/>
      <c r="D313" s="15"/>
      <c r="E313" s="15"/>
      <c r="F313" s="49"/>
      <c r="J313" s="15"/>
      <c r="L313" s="15"/>
    </row>
    <row r="314" spans="2:12" ht="15.75" customHeight="1">
      <c r="B314" s="15"/>
      <c r="C314" s="15"/>
      <c r="D314" s="15"/>
      <c r="E314" s="15"/>
      <c r="F314" s="49"/>
      <c r="J314" s="15"/>
      <c r="L314" s="15"/>
    </row>
    <row r="315" spans="2:12" ht="15.75" customHeight="1">
      <c r="B315" s="15"/>
      <c r="C315" s="15"/>
      <c r="D315" s="15"/>
      <c r="E315" s="15"/>
      <c r="F315" s="49"/>
      <c r="J315" s="15"/>
      <c r="L315" s="15"/>
    </row>
    <row r="316" spans="2:12" ht="15.75" customHeight="1">
      <c r="B316" s="15"/>
      <c r="C316" s="15"/>
      <c r="D316" s="15"/>
      <c r="E316" s="15"/>
      <c r="F316" s="49"/>
      <c r="J316" s="15"/>
      <c r="L316" s="15"/>
    </row>
    <row r="317" spans="2:12" ht="15.75" customHeight="1">
      <c r="B317" s="15"/>
      <c r="C317" s="15"/>
      <c r="D317" s="15"/>
      <c r="E317" s="15"/>
      <c r="F317" s="49"/>
      <c r="J317" s="15"/>
      <c r="L317" s="15"/>
    </row>
    <row r="318" spans="2:12" ht="15.75" customHeight="1">
      <c r="B318" s="15"/>
      <c r="C318" s="15"/>
      <c r="D318" s="15"/>
      <c r="E318" s="15"/>
      <c r="F318" s="49"/>
      <c r="J318" s="15"/>
      <c r="L318" s="15"/>
    </row>
    <row r="319" spans="2:12" ht="15.75" customHeight="1">
      <c r="B319" s="15"/>
      <c r="C319" s="15"/>
      <c r="D319" s="15"/>
      <c r="E319" s="15"/>
      <c r="F319" s="49"/>
      <c r="J319" s="15"/>
      <c r="L319" s="15"/>
    </row>
    <row r="320" spans="2:12" ht="15.75" customHeight="1">
      <c r="B320" s="15"/>
      <c r="C320" s="15"/>
      <c r="D320" s="15"/>
      <c r="E320" s="15"/>
      <c r="F320" s="49"/>
      <c r="J320" s="15"/>
      <c r="L320" s="15"/>
    </row>
    <row r="321" spans="2:12" ht="15.75" customHeight="1">
      <c r="B321" s="15"/>
      <c r="C321" s="15"/>
      <c r="D321" s="15"/>
      <c r="E321" s="15"/>
      <c r="F321" s="49"/>
      <c r="J321" s="15"/>
      <c r="L321" s="15"/>
    </row>
    <row r="322" spans="2:12" ht="15.75" customHeight="1">
      <c r="B322" s="15"/>
      <c r="C322" s="15"/>
      <c r="D322" s="15"/>
      <c r="E322" s="15"/>
      <c r="F322" s="49"/>
      <c r="J322" s="15"/>
      <c r="L322" s="15"/>
    </row>
    <row r="323" spans="2:12" ht="15.75" customHeight="1">
      <c r="B323" s="15"/>
      <c r="C323" s="15"/>
      <c r="D323" s="15"/>
      <c r="E323" s="15"/>
      <c r="F323" s="49"/>
      <c r="J323" s="15"/>
      <c r="L323" s="15"/>
    </row>
    <row r="324" spans="2:12" ht="15.75" customHeight="1">
      <c r="B324" s="15"/>
      <c r="C324" s="15"/>
      <c r="D324" s="15"/>
      <c r="E324" s="15"/>
      <c r="F324" s="49"/>
      <c r="J324" s="15"/>
      <c r="L324" s="15"/>
    </row>
    <row r="325" spans="2:12" ht="15.75" customHeight="1">
      <c r="B325" s="15"/>
      <c r="C325" s="15"/>
      <c r="D325" s="15"/>
      <c r="E325" s="15"/>
      <c r="F325" s="49"/>
      <c r="J325" s="15"/>
      <c r="L325" s="15"/>
    </row>
    <row r="326" spans="2:12" ht="15.75" customHeight="1">
      <c r="B326" s="15"/>
      <c r="C326" s="15"/>
      <c r="D326" s="15"/>
      <c r="E326" s="15"/>
      <c r="F326" s="49"/>
      <c r="J326" s="15"/>
      <c r="L326" s="15"/>
    </row>
    <row r="327" spans="2:12" ht="15.75" customHeight="1">
      <c r="B327" s="15"/>
      <c r="C327" s="15"/>
      <c r="D327" s="15"/>
      <c r="E327" s="15"/>
      <c r="F327" s="49"/>
      <c r="J327" s="15"/>
      <c r="L327" s="15"/>
    </row>
    <row r="328" spans="2:12" ht="15.75" customHeight="1">
      <c r="B328" s="15"/>
      <c r="C328" s="15"/>
      <c r="D328" s="15"/>
      <c r="E328" s="15"/>
      <c r="F328" s="49"/>
      <c r="J328" s="15"/>
      <c r="L328" s="15"/>
    </row>
    <row r="329" spans="2:12" ht="15.75" customHeight="1">
      <c r="B329" s="15"/>
      <c r="C329" s="15"/>
      <c r="D329" s="15"/>
      <c r="E329" s="15"/>
      <c r="F329" s="49"/>
      <c r="J329" s="15"/>
      <c r="L329" s="15"/>
    </row>
    <row r="330" spans="2:12" ht="15.75" customHeight="1">
      <c r="B330" s="15"/>
      <c r="C330" s="15"/>
      <c r="D330" s="15"/>
      <c r="E330" s="15"/>
      <c r="F330" s="49"/>
      <c r="J330" s="15"/>
      <c r="L330" s="15"/>
    </row>
    <row r="331" spans="2:12" ht="15.75" customHeight="1">
      <c r="B331" s="15"/>
      <c r="C331" s="15"/>
      <c r="D331" s="15"/>
      <c r="E331" s="15"/>
      <c r="F331" s="49"/>
      <c r="J331" s="15"/>
      <c r="L331" s="15"/>
    </row>
    <row r="332" spans="2:12" ht="15.75" customHeight="1">
      <c r="B332" s="15"/>
      <c r="C332" s="15"/>
      <c r="D332" s="15"/>
      <c r="E332" s="15"/>
      <c r="F332" s="49"/>
      <c r="J332" s="15"/>
      <c r="L332" s="15"/>
    </row>
    <row r="333" spans="2:12" ht="15.75" customHeight="1">
      <c r="B333" s="15"/>
      <c r="C333" s="15"/>
      <c r="D333" s="15"/>
      <c r="E333" s="15"/>
      <c r="F333" s="49"/>
      <c r="J333" s="15"/>
      <c r="L333" s="15"/>
    </row>
    <row r="334" spans="2:12" ht="15.75" customHeight="1">
      <c r="B334" s="15"/>
      <c r="C334" s="15"/>
      <c r="D334" s="15"/>
      <c r="E334" s="15"/>
      <c r="F334" s="49"/>
      <c r="J334" s="15"/>
      <c r="L334" s="15"/>
    </row>
    <row r="335" spans="2:12" ht="15.75" customHeight="1">
      <c r="B335" s="15"/>
      <c r="C335" s="15"/>
      <c r="D335" s="15"/>
      <c r="E335" s="15"/>
      <c r="F335" s="49"/>
      <c r="J335" s="15"/>
      <c r="L335" s="15"/>
    </row>
    <row r="336" spans="2:12" ht="15.75" customHeight="1">
      <c r="B336" s="15"/>
      <c r="C336" s="15"/>
      <c r="D336" s="15"/>
      <c r="E336" s="15"/>
      <c r="F336" s="49"/>
      <c r="J336" s="15"/>
      <c r="L336" s="15"/>
    </row>
    <row r="337" spans="2:12" ht="15.75" customHeight="1">
      <c r="B337" s="15"/>
      <c r="C337" s="15"/>
      <c r="D337" s="15"/>
      <c r="E337" s="15"/>
      <c r="F337" s="49"/>
      <c r="J337" s="15"/>
      <c r="L337" s="15"/>
    </row>
    <row r="338" spans="2:12" ht="15.75" customHeight="1">
      <c r="B338" s="15"/>
      <c r="C338" s="15"/>
      <c r="D338" s="15"/>
      <c r="E338" s="15"/>
      <c r="F338" s="49"/>
      <c r="J338" s="15"/>
      <c r="L338" s="15"/>
    </row>
    <row r="339" spans="2:12" ht="15.75" customHeight="1">
      <c r="B339" s="15"/>
      <c r="C339" s="15"/>
      <c r="D339" s="15"/>
      <c r="E339" s="15"/>
      <c r="F339" s="49"/>
      <c r="J339" s="15"/>
      <c r="L339" s="15"/>
    </row>
    <row r="340" spans="2:12" ht="15.75" customHeight="1">
      <c r="B340" s="15"/>
      <c r="C340" s="15"/>
      <c r="D340" s="15"/>
      <c r="E340" s="15"/>
      <c r="F340" s="49"/>
      <c r="J340" s="15"/>
      <c r="L340" s="15"/>
    </row>
    <row r="341" spans="2:12" ht="15.75" customHeight="1">
      <c r="B341" s="15"/>
      <c r="C341" s="15"/>
      <c r="D341" s="15"/>
      <c r="E341" s="15"/>
      <c r="F341" s="49"/>
      <c r="J341" s="15"/>
      <c r="L341" s="15"/>
    </row>
    <row r="342" spans="2:12" ht="15.75" customHeight="1">
      <c r="B342" s="15"/>
      <c r="C342" s="15"/>
      <c r="D342" s="15"/>
      <c r="E342" s="15"/>
      <c r="F342" s="49"/>
      <c r="J342" s="15"/>
      <c r="L342" s="15"/>
    </row>
    <row r="343" spans="2:12" ht="15.75" customHeight="1">
      <c r="B343" s="15"/>
      <c r="C343" s="15"/>
      <c r="D343" s="15"/>
      <c r="E343" s="15"/>
      <c r="F343" s="49"/>
      <c r="J343" s="15"/>
      <c r="L343" s="15"/>
    </row>
    <row r="344" spans="2:12" ht="15.75" customHeight="1">
      <c r="B344" s="15"/>
      <c r="C344" s="15"/>
      <c r="D344" s="15"/>
      <c r="E344" s="15"/>
      <c r="F344" s="49"/>
      <c r="J344" s="15"/>
      <c r="L344" s="15"/>
    </row>
    <row r="345" spans="2:12" ht="15.75" customHeight="1">
      <c r="B345" s="15"/>
      <c r="C345" s="15"/>
      <c r="D345" s="15"/>
      <c r="E345" s="15"/>
      <c r="F345" s="49"/>
      <c r="J345" s="15"/>
      <c r="L345" s="15"/>
    </row>
    <row r="346" spans="2:12" ht="15.75" customHeight="1">
      <c r="B346" s="15"/>
      <c r="C346" s="15"/>
      <c r="D346" s="15"/>
      <c r="E346" s="15"/>
      <c r="F346" s="49"/>
      <c r="J346" s="15"/>
      <c r="L346" s="15"/>
    </row>
    <row r="347" spans="2:12" ht="15.75" customHeight="1">
      <c r="B347" s="15"/>
      <c r="C347" s="15"/>
      <c r="D347" s="15"/>
      <c r="E347" s="15"/>
      <c r="F347" s="49"/>
      <c r="J347" s="15"/>
      <c r="L347" s="15"/>
    </row>
    <row r="348" spans="2:12" ht="15.75" customHeight="1">
      <c r="B348" s="15"/>
      <c r="C348" s="15"/>
      <c r="D348" s="15"/>
      <c r="E348" s="15"/>
      <c r="F348" s="49"/>
      <c r="J348" s="15"/>
      <c r="L348" s="15"/>
    </row>
    <row r="349" spans="2:12" ht="15.75" customHeight="1">
      <c r="B349" s="15"/>
      <c r="C349" s="15"/>
      <c r="D349" s="15"/>
      <c r="E349" s="15"/>
      <c r="F349" s="49"/>
      <c r="J349" s="15"/>
      <c r="L349" s="15"/>
    </row>
    <row r="350" spans="2:12" ht="15.75" customHeight="1">
      <c r="B350" s="15"/>
      <c r="C350" s="15"/>
      <c r="D350" s="15"/>
      <c r="E350" s="15"/>
      <c r="F350" s="49"/>
      <c r="J350" s="15"/>
      <c r="L350" s="15"/>
    </row>
    <row r="351" spans="2:12" ht="15.75" customHeight="1">
      <c r="B351" s="15"/>
      <c r="C351" s="15"/>
      <c r="D351" s="15"/>
      <c r="E351" s="15"/>
      <c r="F351" s="49"/>
      <c r="J351" s="15"/>
      <c r="L351" s="15"/>
    </row>
    <row r="352" spans="2:12" ht="15.75" customHeight="1">
      <c r="B352" s="15"/>
      <c r="C352" s="15"/>
      <c r="D352" s="15"/>
      <c r="E352" s="15"/>
      <c r="F352" s="49"/>
      <c r="J352" s="15"/>
      <c r="L352" s="15"/>
    </row>
    <row r="353" spans="2:12" ht="15.75" customHeight="1">
      <c r="B353" s="15"/>
      <c r="C353" s="15"/>
      <c r="D353" s="15"/>
      <c r="E353" s="15"/>
      <c r="F353" s="49"/>
      <c r="J353" s="15"/>
      <c r="L353" s="15"/>
    </row>
    <row r="354" spans="2:12" ht="15.75" customHeight="1">
      <c r="B354" s="15"/>
      <c r="C354" s="15"/>
      <c r="D354" s="15"/>
      <c r="E354" s="15"/>
      <c r="F354" s="49"/>
      <c r="J354" s="15"/>
      <c r="L354" s="15"/>
    </row>
    <row r="355" spans="2:12" ht="15.75" customHeight="1">
      <c r="B355" s="15"/>
      <c r="C355" s="15"/>
      <c r="D355" s="15"/>
      <c r="E355" s="15"/>
      <c r="F355" s="49"/>
      <c r="J355" s="15"/>
      <c r="L355" s="15"/>
    </row>
    <row r="356" spans="2:12" ht="15.75" customHeight="1">
      <c r="B356" s="15"/>
      <c r="C356" s="15"/>
      <c r="D356" s="15"/>
      <c r="E356" s="15"/>
      <c r="F356" s="49"/>
      <c r="J356" s="15"/>
      <c r="L356" s="15"/>
    </row>
    <row r="357" spans="2:12" ht="15.75" customHeight="1">
      <c r="B357" s="15"/>
      <c r="C357" s="15"/>
      <c r="D357" s="15"/>
      <c r="E357" s="15"/>
      <c r="F357" s="49"/>
      <c r="J357" s="15"/>
      <c r="L357" s="15"/>
    </row>
    <row r="358" spans="2:12" ht="15.75" customHeight="1">
      <c r="B358" s="15"/>
      <c r="C358" s="15"/>
      <c r="D358" s="15"/>
      <c r="E358" s="15"/>
      <c r="F358" s="49"/>
      <c r="J358" s="15"/>
      <c r="L358" s="15"/>
    </row>
    <row r="359" spans="2:12" ht="15.75" customHeight="1">
      <c r="B359" s="15"/>
      <c r="C359" s="15"/>
      <c r="D359" s="15"/>
      <c r="E359" s="15"/>
      <c r="F359" s="49"/>
      <c r="J359" s="15"/>
      <c r="L359" s="15"/>
    </row>
    <row r="360" spans="2:12" ht="15.75" customHeight="1">
      <c r="B360" s="15"/>
      <c r="C360" s="15"/>
      <c r="D360" s="15"/>
      <c r="E360" s="15"/>
      <c r="F360" s="49"/>
      <c r="J360" s="15"/>
      <c r="L360" s="15"/>
    </row>
    <row r="361" spans="2:12" ht="15.75" customHeight="1">
      <c r="B361" s="15"/>
      <c r="C361" s="15"/>
      <c r="D361" s="15"/>
      <c r="E361" s="15"/>
      <c r="F361" s="49"/>
      <c r="J361" s="15"/>
      <c r="L361" s="15"/>
    </row>
    <row r="362" spans="2:12" ht="15.75" customHeight="1">
      <c r="B362" s="15"/>
      <c r="C362" s="15"/>
      <c r="D362" s="15"/>
      <c r="E362" s="15"/>
      <c r="F362" s="49"/>
      <c r="J362" s="15"/>
      <c r="L362" s="15"/>
    </row>
    <row r="363" spans="2:12" ht="15.75" customHeight="1">
      <c r="B363" s="15"/>
      <c r="C363" s="15"/>
      <c r="D363" s="15"/>
      <c r="E363" s="15"/>
      <c r="F363" s="49"/>
      <c r="J363" s="15"/>
      <c r="L363" s="15"/>
    </row>
    <row r="364" spans="2:12" ht="15.75" customHeight="1">
      <c r="B364" s="15"/>
      <c r="C364" s="15"/>
      <c r="D364" s="15"/>
      <c r="E364" s="15"/>
      <c r="F364" s="49"/>
      <c r="J364" s="15"/>
      <c r="L364" s="15"/>
    </row>
    <row r="365" spans="2:12" ht="15.75" customHeight="1">
      <c r="B365" s="15"/>
      <c r="C365" s="15"/>
      <c r="D365" s="15"/>
      <c r="E365" s="15"/>
      <c r="F365" s="49"/>
      <c r="J365" s="15"/>
      <c r="L365" s="15"/>
    </row>
    <row r="366" spans="2:12" ht="15.75" customHeight="1">
      <c r="B366" s="15"/>
      <c r="C366" s="15"/>
      <c r="D366" s="15"/>
      <c r="E366" s="15"/>
      <c r="F366" s="49"/>
      <c r="J366" s="15"/>
      <c r="L366" s="15"/>
    </row>
    <row r="367" spans="2:12" ht="15.75" customHeight="1">
      <c r="B367" s="15"/>
      <c r="C367" s="15"/>
      <c r="D367" s="15"/>
      <c r="E367" s="15"/>
      <c r="F367" s="49"/>
      <c r="J367" s="15"/>
      <c r="L367" s="15"/>
    </row>
    <row r="368" spans="2:12" ht="15.75" customHeight="1">
      <c r="B368" s="15"/>
      <c r="C368" s="15"/>
      <c r="D368" s="15"/>
      <c r="E368" s="15"/>
      <c r="F368" s="49"/>
      <c r="J368" s="15"/>
      <c r="L368" s="15"/>
    </row>
    <row r="369" spans="2:12" ht="15.75" customHeight="1">
      <c r="B369" s="15"/>
      <c r="C369" s="15"/>
      <c r="D369" s="15"/>
      <c r="E369" s="15"/>
      <c r="F369" s="49"/>
      <c r="J369" s="15"/>
      <c r="L369" s="15"/>
    </row>
    <row r="370" spans="2:12" ht="15.75" customHeight="1">
      <c r="B370" s="15"/>
      <c r="C370" s="15"/>
      <c r="D370" s="15"/>
      <c r="E370" s="15"/>
      <c r="F370" s="49"/>
      <c r="J370" s="15"/>
      <c r="L370" s="15"/>
    </row>
    <row r="371" spans="2:12" ht="15.75" customHeight="1">
      <c r="B371" s="15"/>
      <c r="C371" s="15"/>
      <c r="D371" s="15"/>
      <c r="E371" s="15"/>
      <c r="F371" s="49"/>
      <c r="J371" s="15"/>
      <c r="L371" s="15"/>
    </row>
    <row r="372" spans="2:12" ht="15.75" customHeight="1">
      <c r="B372" s="15"/>
      <c r="C372" s="15"/>
      <c r="D372" s="15"/>
      <c r="E372" s="15"/>
      <c r="F372" s="49"/>
      <c r="J372" s="15"/>
      <c r="L372" s="15"/>
    </row>
    <row r="373" spans="2:12" ht="15.75" customHeight="1">
      <c r="B373" s="15"/>
      <c r="C373" s="15"/>
      <c r="D373" s="15"/>
      <c r="E373" s="15"/>
      <c r="F373" s="49"/>
      <c r="J373" s="15"/>
      <c r="L373" s="15"/>
    </row>
    <row r="374" spans="2:12" ht="15.75" customHeight="1">
      <c r="B374" s="15"/>
      <c r="C374" s="15"/>
      <c r="D374" s="15"/>
      <c r="E374" s="15"/>
      <c r="F374" s="49"/>
      <c r="J374" s="15"/>
      <c r="L374" s="15"/>
    </row>
    <row r="375" spans="2:12" ht="15.75" customHeight="1">
      <c r="B375" s="15"/>
      <c r="C375" s="15"/>
      <c r="D375" s="15"/>
      <c r="E375" s="15"/>
      <c r="F375" s="49"/>
      <c r="J375" s="15"/>
      <c r="L375" s="15"/>
    </row>
    <row r="376" spans="2:12" ht="15.75" customHeight="1">
      <c r="B376" s="15"/>
      <c r="C376" s="15"/>
      <c r="D376" s="15"/>
      <c r="E376" s="15"/>
      <c r="F376" s="49"/>
      <c r="J376" s="15"/>
      <c r="L376" s="15"/>
    </row>
    <row r="377" spans="2:12" ht="15.75" customHeight="1">
      <c r="B377" s="15"/>
      <c r="C377" s="15"/>
      <c r="D377" s="15"/>
      <c r="E377" s="15"/>
      <c r="F377" s="49"/>
      <c r="J377" s="15"/>
      <c r="L377" s="15"/>
    </row>
    <row r="378" spans="2:12" ht="15.75" customHeight="1">
      <c r="B378" s="15"/>
      <c r="C378" s="15"/>
      <c r="D378" s="15"/>
      <c r="E378" s="15"/>
      <c r="F378" s="49"/>
      <c r="J378" s="15"/>
      <c r="L378" s="15"/>
    </row>
    <row r="379" spans="2:12" ht="15.75" customHeight="1">
      <c r="B379" s="15"/>
      <c r="C379" s="15"/>
      <c r="D379" s="15"/>
      <c r="E379" s="15"/>
      <c r="F379" s="49"/>
      <c r="J379" s="15"/>
      <c r="L379" s="15"/>
    </row>
    <row r="380" spans="2:12" ht="15.75" customHeight="1">
      <c r="B380" s="15"/>
      <c r="C380" s="15"/>
      <c r="D380" s="15"/>
      <c r="E380" s="15"/>
      <c r="F380" s="49"/>
      <c r="J380" s="15"/>
      <c r="L380" s="15"/>
    </row>
    <row r="381" spans="2:12" ht="15.75" customHeight="1">
      <c r="B381" s="15"/>
      <c r="C381" s="15"/>
      <c r="D381" s="15"/>
      <c r="E381" s="15"/>
      <c r="F381" s="49"/>
      <c r="J381" s="15"/>
      <c r="L381" s="15"/>
    </row>
    <row r="382" spans="2:12" ht="15.75" customHeight="1">
      <c r="B382" s="15"/>
      <c r="C382" s="15"/>
      <c r="D382" s="15"/>
      <c r="E382" s="15"/>
      <c r="F382" s="49"/>
      <c r="J382" s="15"/>
      <c r="L382" s="15"/>
    </row>
    <row r="383" spans="2:12" ht="15.75" customHeight="1">
      <c r="B383" s="15"/>
      <c r="C383" s="15"/>
      <c r="D383" s="15"/>
      <c r="E383" s="15"/>
      <c r="F383" s="49"/>
      <c r="J383" s="15"/>
      <c r="L383" s="15"/>
    </row>
    <row r="384" spans="2:12" ht="15.75" customHeight="1">
      <c r="B384" s="15"/>
      <c r="C384" s="15"/>
      <c r="D384" s="15"/>
      <c r="E384" s="15"/>
      <c r="F384" s="49"/>
      <c r="J384" s="15"/>
      <c r="L384" s="15"/>
    </row>
    <row r="385" spans="2:12" ht="15.75" customHeight="1">
      <c r="B385" s="15"/>
      <c r="C385" s="15"/>
      <c r="D385" s="15"/>
      <c r="E385" s="15"/>
      <c r="F385" s="49"/>
      <c r="J385" s="15"/>
      <c r="L385" s="15"/>
    </row>
    <row r="386" spans="2:12" ht="15.75" customHeight="1">
      <c r="B386" s="15"/>
      <c r="C386" s="15"/>
      <c r="D386" s="15"/>
      <c r="E386" s="15"/>
      <c r="F386" s="49"/>
      <c r="J386" s="15"/>
      <c r="L386" s="15"/>
    </row>
    <row r="387" spans="2:12" ht="15.75" customHeight="1">
      <c r="B387" s="15"/>
      <c r="C387" s="15"/>
      <c r="D387" s="15"/>
      <c r="E387" s="15"/>
      <c r="F387" s="49"/>
      <c r="J387" s="15"/>
      <c r="L387" s="15"/>
    </row>
    <row r="388" spans="2:12" ht="15.75" customHeight="1">
      <c r="B388" s="15"/>
      <c r="C388" s="15"/>
      <c r="D388" s="15"/>
      <c r="E388" s="15"/>
      <c r="F388" s="49"/>
      <c r="J388" s="15"/>
      <c r="L388" s="15"/>
    </row>
    <row r="389" spans="2:12" ht="15.75" customHeight="1">
      <c r="B389" s="15"/>
      <c r="C389" s="15"/>
      <c r="D389" s="15"/>
      <c r="E389" s="15"/>
      <c r="F389" s="49"/>
      <c r="J389" s="15"/>
      <c r="L389" s="15"/>
    </row>
    <row r="390" spans="2:12" ht="15.75" customHeight="1">
      <c r="B390" s="15"/>
      <c r="C390" s="15"/>
      <c r="D390" s="15"/>
      <c r="E390" s="15"/>
      <c r="F390" s="49"/>
      <c r="J390" s="15"/>
      <c r="L390" s="15"/>
    </row>
    <row r="391" spans="2:12" ht="15.75" customHeight="1">
      <c r="B391" s="15"/>
      <c r="C391" s="15"/>
      <c r="D391" s="15"/>
      <c r="E391" s="15"/>
      <c r="F391" s="49"/>
      <c r="J391" s="15"/>
      <c r="L391" s="15"/>
    </row>
    <row r="392" spans="2:12" ht="15.75" customHeight="1">
      <c r="B392" s="15"/>
      <c r="C392" s="15"/>
      <c r="D392" s="15"/>
      <c r="E392" s="15"/>
      <c r="F392" s="49"/>
      <c r="J392" s="15"/>
      <c r="L392" s="15"/>
    </row>
    <row r="393" spans="2:12" ht="15.75" customHeight="1">
      <c r="B393" s="15"/>
      <c r="C393" s="15"/>
      <c r="D393" s="15"/>
      <c r="E393" s="15"/>
      <c r="F393" s="49"/>
      <c r="J393" s="15"/>
      <c r="L393" s="15"/>
    </row>
    <row r="394" spans="2:12" ht="15.75" customHeight="1">
      <c r="B394" s="15"/>
      <c r="C394" s="15"/>
      <c r="D394" s="15"/>
      <c r="E394" s="15"/>
      <c r="F394" s="49"/>
      <c r="J394" s="15"/>
      <c r="L394" s="15"/>
    </row>
    <row r="395" spans="2:12" ht="15.75" customHeight="1">
      <c r="B395" s="15"/>
      <c r="C395" s="15"/>
      <c r="D395" s="15"/>
      <c r="E395" s="15"/>
      <c r="F395" s="49"/>
      <c r="J395" s="15"/>
      <c r="L395" s="15"/>
    </row>
    <row r="396" spans="2:12" ht="15.75" customHeight="1">
      <c r="B396" s="15"/>
      <c r="C396" s="15"/>
      <c r="D396" s="15"/>
      <c r="E396" s="15"/>
      <c r="F396" s="49"/>
      <c r="J396" s="15"/>
      <c r="L396" s="15"/>
    </row>
    <row r="397" spans="2:12" ht="15.75" customHeight="1">
      <c r="B397" s="15"/>
      <c r="C397" s="15"/>
      <c r="D397" s="15"/>
      <c r="E397" s="15"/>
      <c r="F397" s="49"/>
      <c r="J397" s="15"/>
      <c r="L397" s="15"/>
    </row>
    <row r="398" spans="2:12" ht="15.75" customHeight="1">
      <c r="B398" s="15"/>
      <c r="C398" s="15"/>
      <c r="D398" s="15"/>
      <c r="E398" s="15"/>
      <c r="F398" s="49"/>
      <c r="J398" s="15"/>
      <c r="L398" s="15"/>
    </row>
    <row r="399" spans="2:12" ht="15.75" customHeight="1">
      <c r="B399" s="15"/>
      <c r="C399" s="15"/>
      <c r="D399" s="15"/>
      <c r="E399" s="15"/>
      <c r="F399" s="49"/>
      <c r="J399" s="15"/>
      <c r="L399" s="15"/>
    </row>
    <row r="400" spans="2:12" ht="15.75" customHeight="1">
      <c r="B400" s="15"/>
      <c r="C400" s="15"/>
      <c r="D400" s="15"/>
      <c r="E400" s="15"/>
      <c r="F400" s="49"/>
      <c r="J400" s="15"/>
      <c r="L400" s="15"/>
    </row>
    <row r="401" spans="2:12" ht="15.75" customHeight="1">
      <c r="B401" s="15"/>
      <c r="C401" s="15"/>
      <c r="D401" s="15"/>
      <c r="E401" s="15"/>
      <c r="F401" s="49"/>
      <c r="J401" s="15"/>
      <c r="L401" s="15"/>
    </row>
    <row r="402" spans="2:12" ht="15.75" customHeight="1">
      <c r="B402" s="15"/>
      <c r="C402" s="15"/>
      <c r="D402" s="15"/>
      <c r="E402" s="15"/>
      <c r="F402" s="49"/>
      <c r="J402" s="15"/>
      <c r="L402" s="15"/>
    </row>
    <row r="403" spans="2:12" ht="15.75" customHeight="1">
      <c r="B403" s="15"/>
      <c r="C403" s="15"/>
      <c r="D403" s="15"/>
      <c r="E403" s="15"/>
      <c r="F403" s="49"/>
      <c r="J403" s="15"/>
      <c r="L403" s="15"/>
    </row>
    <row r="404" spans="2:12" ht="15.75" customHeight="1">
      <c r="B404" s="15"/>
      <c r="C404" s="15"/>
      <c r="D404" s="15"/>
      <c r="E404" s="15"/>
      <c r="F404" s="49"/>
      <c r="J404" s="15"/>
      <c r="L404" s="15"/>
    </row>
    <row r="405" spans="2:12" ht="15.75" customHeight="1">
      <c r="B405" s="15"/>
      <c r="C405" s="15"/>
      <c r="D405" s="15"/>
      <c r="E405" s="15"/>
      <c r="F405" s="49"/>
      <c r="J405" s="15"/>
      <c r="L405" s="15"/>
    </row>
    <row r="406" spans="2:12" ht="15.75" customHeight="1">
      <c r="B406" s="15"/>
      <c r="C406" s="15"/>
      <c r="D406" s="15"/>
      <c r="E406" s="15"/>
      <c r="F406" s="49"/>
      <c r="J406" s="15"/>
      <c r="L406" s="15"/>
    </row>
    <row r="407" spans="2:12" ht="15.75" customHeight="1">
      <c r="B407" s="15"/>
      <c r="C407" s="15"/>
      <c r="D407" s="15"/>
      <c r="E407" s="15"/>
      <c r="F407" s="49"/>
      <c r="J407" s="15"/>
      <c r="L407" s="15"/>
    </row>
    <row r="408" spans="2:12" ht="15.75" customHeight="1">
      <c r="B408" s="15"/>
      <c r="C408" s="15"/>
      <c r="D408" s="15"/>
      <c r="E408" s="15"/>
      <c r="F408" s="49"/>
      <c r="J408" s="15"/>
      <c r="L408" s="15"/>
    </row>
    <row r="409" spans="2:12" ht="15.75" customHeight="1">
      <c r="B409" s="15"/>
      <c r="C409" s="15"/>
      <c r="D409" s="15"/>
      <c r="E409" s="15"/>
      <c r="F409" s="49"/>
      <c r="J409" s="15"/>
      <c r="L409" s="15"/>
    </row>
    <row r="410" spans="2:12" ht="15.75" customHeight="1">
      <c r="B410" s="15"/>
      <c r="C410" s="15"/>
      <c r="D410" s="15"/>
      <c r="E410" s="15"/>
      <c r="F410" s="49"/>
      <c r="J410" s="15"/>
      <c r="L410" s="15"/>
    </row>
    <row r="411" spans="2:12" ht="15.75" customHeight="1">
      <c r="B411" s="15"/>
      <c r="C411" s="15"/>
      <c r="D411" s="15"/>
      <c r="E411" s="15"/>
      <c r="F411" s="49"/>
      <c r="J411" s="15"/>
      <c r="L411" s="15"/>
    </row>
    <row r="412" spans="2:12" ht="15.75" customHeight="1">
      <c r="B412" s="15"/>
      <c r="C412" s="15"/>
      <c r="D412" s="15"/>
      <c r="E412" s="15"/>
      <c r="F412" s="49"/>
      <c r="J412" s="15"/>
      <c r="L412" s="15"/>
    </row>
    <row r="413" spans="2:12" ht="15.75" customHeight="1">
      <c r="B413" s="15"/>
      <c r="C413" s="15"/>
      <c r="D413" s="15"/>
      <c r="E413" s="15"/>
      <c r="F413" s="49"/>
      <c r="J413" s="15"/>
      <c r="L413" s="15"/>
    </row>
    <row r="414" spans="2:12" ht="15.75" customHeight="1">
      <c r="B414" s="15"/>
      <c r="C414" s="15"/>
      <c r="D414" s="15"/>
      <c r="E414" s="15"/>
      <c r="F414" s="49"/>
      <c r="J414" s="15"/>
      <c r="L414" s="15"/>
    </row>
    <row r="415" spans="2:12" ht="15.75" customHeight="1">
      <c r="B415" s="15"/>
      <c r="C415" s="15"/>
      <c r="D415" s="15"/>
      <c r="E415" s="15"/>
      <c r="F415" s="49"/>
      <c r="J415" s="15"/>
      <c r="L415" s="15"/>
    </row>
    <row r="416" spans="2:12" ht="15.75" customHeight="1">
      <c r="B416" s="15"/>
      <c r="C416" s="15"/>
      <c r="D416" s="15"/>
      <c r="E416" s="15"/>
      <c r="F416" s="49"/>
      <c r="J416" s="15"/>
      <c r="L416" s="15"/>
    </row>
    <row r="417" spans="2:12" ht="15.75" customHeight="1">
      <c r="B417" s="15"/>
      <c r="C417" s="15"/>
      <c r="D417" s="15"/>
      <c r="E417" s="15"/>
      <c r="F417" s="49"/>
      <c r="J417" s="15"/>
      <c r="L417" s="15"/>
    </row>
    <row r="418" spans="2:12" ht="15.75" customHeight="1">
      <c r="B418" s="15"/>
      <c r="C418" s="15"/>
      <c r="D418" s="15"/>
      <c r="E418" s="15"/>
      <c r="F418" s="49"/>
      <c r="J418" s="15"/>
      <c r="L418" s="15"/>
    </row>
    <row r="419" spans="2:12" ht="15.75" customHeight="1">
      <c r="B419" s="15"/>
      <c r="C419" s="15"/>
      <c r="D419" s="15"/>
      <c r="E419" s="15"/>
      <c r="F419" s="49"/>
      <c r="J419" s="15"/>
      <c r="L419" s="15"/>
    </row>
    <row r="420" spans="2:12" ht="15.75" customHeight="1">
      <c r="B420" s="15"/>
      <c r="C420" s="15"/>
      <c r="D420" s="15"/>
      <c r="E420" s="15"/>
      <c r="F420" s="49"/>
      <c r="J420" s="15"/>
      <c r="L420" s="15"/>
    </row>
    <row r="421" spans="2:12" ht="15.75" customHeight="1">
      <c r="B421" s="15"/>
      <c r="C421" s="15"/>
      <c r="D421" s="15"/>
      <c r="E421" s="15"/>
      <c r="F421" s="49"/>
      <c r="J421" s="15"/>
      <c r="L421" s="15"/>
    </row>
    <row r="422" spans="2:12" ht="15.75" customHeight="1">
      <c r="B422" s="15"/>
      <c r="C422" s="15"/>
      <c r="D422" s="15"/>
      <c r="E422" s="15"/>
      <c r="F422" s="49"/>
      <c r="J422" s="15"/>
      <c r="L422" s="15"/>
    </row>
    <row r="423" spans="2:12" ht="15.75" customHeight="1">
      <c r="B423" s="15"/>
      <c r="C423" s="15"/>
      <c r="D423" s="15"/>
      <c r="E423" s="15"/>
      <c r="F423" s="49"/>
      <c r="J423" s="15"/>
      <c r="L423" s="15"/>
    </row>
    <row r="424" spans="2:12" ht="15.75" customHeight="1">
      <c r="B424" s="15"/>
      <c r="C424" s="15"/>
      <c r="D424" s="15"/>
      <c r="E424" s="15"/>
      <c r="F424" s="49"/>
      <c r="J424" s="15"/>
      <c r="L424" s="15"/>
    </row>
    <row r="425" spans="2:12" ht="15.75" customHeight="1">
      <c r="B425" s="15"/>
      <c r="C425" s="15"/>
      <c r="D425" s="15"/>
      <c r="E425" s="15"/>
      <c r="F425" s="49"/>
      <c r="J425" s="15"/>
      <c r="L425" s="15"/>
    </row>
    <row r="426" spans="2:12" ht="15.75" customHeight="1">
      <c r="B426" s="15"/>
      <c r="C426" s="15"/>
      <c r="D426" s="15"/>
      <c r="E426" s="15"/>
      <c r="F426" s="49"/>
      <c r="J426" s="15"/>
      <c r="L426" s="15"/>
    </row>
    <row r="427" spans="2:12" ht="15.75" customHeight="1">
      <c r="B427" s="15"/>
      <c r="C427" s="15"/>
      <c r="D427" s="15"/>
      <c r="E427" s="15"/>
      <c r="F427" s="49"/>
      <c r="J427" s="15"/>
      <c r="L427" s="15"/>
    </row>
    <row r="428" spans="2:12" ht="15.75" customHeight="1">
      <c r="B428" s="15"/>
      <c r="C428" s="15"/>
      <c r="D428" s="15"/>
      <c r="E428" s="15"/>
      <c r="F428" s="49"/>
      <c r="J428" s="15"/>
      <c r="L428" s="15"/>
    </row>
    <row r="429" spans="2:12" ht="15.75" customHeight="1">
      <c r="B429" s="15"/>
      <c r="C429" s="15"/>
      <c r="D429" s="15"/>
      <c r="E429" s="15"/>
      <c r="F429" s="49"/>
      <c r="J429" s="15"/>
      <c r="L429" s="15"/>
    </row>
    <row r="430" spans="2:12" ht="15.75" customHeight="1">
      <c r="B430" s="15"/>
      <c r="C430" s="15"/>
      <c r="D430" s="15"/>
      <c r="E430" s="15"/>
      <c r="F430" s="49"/>
      <c r="J430" s="15"/>
      <c r="L430" s="15"/>
    </row>
    <row r="431" spans="2:12" ht="15.75" customHeight="1">
      <c r="B431" s="15"/>
      <c r="C431" s="15"/>
      <c r="D431" s="15"/>
      <c r="E431" s="15"/>
      <c r="F431" s="49"/>
      <c r="J431" s="15"/>
      <c r="L431" s="15"/>
    </row>
    <row r="432" spans="2:12" ht="15.75" customHeight="1">
      <c r="B432" s="15"/>
      <c r="C432" s="15"/>
      <c r="D432" s="15"/>
      <c r="E432" s="15"/>
      <c r="F432" s="49"/>
      <c r="J432" s="15"/>
      <c r="L432" s="15"/>
    </row>
    <row r="433" spans="2:12" ht="15.75" customHeight="1">
      <c r="B433" s="15"/>
      <c r="C433" s="15"/>
      <c r="D433" s="15"/>
      <c r="E433" s="15"/>
      <c r="F433" s="49"/>
      <c r="J433" s="15"/>
      <c r="L433" s="15"/>
    </row>
    <row r="434" spans="2:12" ht="15.75" customHeight="1">
      <c r="B434" s="15"/>
      <c r="C434" s="15"/>
      <c r="D434" s="15"/>
      <c r="E434" s="15"/>
      <c r="F434" s="49"/>
      <c r="J434" s="15"/>
      <c r="L434" s="15"/>
    </row>
    <row r="435" spans="2:12" ht="15.75" customHeight="1">
      <c r="B435" s="15"/>
      <c r="C435" s="15"/>
      <c r="D435" s="15"/>
      <c r="E435" s="15"/>
      <c r="F435" s="49"/>
      <c r="J435" s="15"/>
      <c r="L435" s="15"/>
    </row>
    <row r="436" spans="2:12" ht="15.75" customHeight="1">
      <c r="B436" s="15"/>
      <c r="C436" s="15"/>
      <c r="D436" s="15"/>
      <c r="E436" s="15"/>
      <c r="F436" s="49"/>
      <c r="J436" s="15"/>
      <c r="L436" s="15"/>
    </row>
    <row r="437" spans="2:12" ht="15.75" customHeight="1">
      <c r="B437" s="15"/>
      <c r="C437" s="15"/>
      <c r="D437" s="15"/>
      <c r="E437" s="15"/>
      <c r="F437" s="49"/>
      <c r="J437" s="15"/>
      <c r="L437" s="15"/>
    </row>
    <row r="438" spans="2:12" ht="15.75" customHeight="1">
      <c r="B438" s="15"/>
      <c r="C438" s="15"/>
      <c r="D438" s="15"/>
      <c r="E438" s="15"/>
      <c r="F438" s="49"/>
      <c r="J438" s="15"/>
      <c r="L438" s="15"/>
    </row>
    <row r="439" spans="2:12" ht="15.75" customHeight="1">
      <c r="B439" s="15"/>
      <c r="C439" s="15"/>
      <c r="D439" s="15"/>
      <c r="E439" s="15"/>
      <c r="F439" s="49"/>
      <c r="J439" s="15"/>
      <c r="L439" s="15"/>
    </row>
    <row r="440" spans="2:12" ht="15.75" customHeight="1">
      <c r="B440" s="15"/>
      <c r="C440" s="15"/>
      <c r="D440" s="15"/>
      <c r="E440" s="15"/>
      <c r="F440" s="49"/>
      <c r="J440" s="15"/>
      <c r="L440" s="15"/>
    </row>
    <row r="441" spans="2:12" ht="15.75" customHeight="1">
      <c r="B441" s="15"/>
      <c r="C441" s="15"/>
      <c r="D441" s="15"/>
      <c r="E441" s="15"/>
      <c r="F441" s="49"/>
      <c r="J441" s="15"/>
      <c r="L441" s="15"/>
    </row>
    <row r="442" spans="2:12" ht="15.75" customHeight="1">
      <c r="B442" s="15"/>
      <c r="C442" s="15"/>
      <c r="D442" s="15"/>
      <c r="E442" s="15"/>
      <c r="F442" s="49"/>
      <c r="J442" s="15"/>
      <c r="L442" s="15"/>
    </row>
    <row r="443" spans="2:12" ht="15.75" customHeight="1">
      <c r="B443" s="15"/>
      <c r="C443" s="15"/>
      <c r="D443" s="15"/>
      <c r="E443" s="15"/>
      <c r="F443" s="49"/>
      <c r="J443" s="15"/>
      <c r="L443" s="15"/>
    </row>
    <row r="444" spans="2:12" ht="15.75" customHeight="1">
      <c r="B444" s="15"/>
      <c r="C444" s="15"/>
      <c r="D444" s="15"/>
      <c r="E444" s="15"/>
      <c r="F444" s="49"/>
      <c r="J444" s="15"/>
      <c r="L444" s="15"/>
    </row>
    <row r="445" spans="2:12" ht="15.75" customHeight="1">
      <c r="B445" s="15"/>
      <c r="C445" s="15"/>
      <c r="D445" s="15"/>
      <c r="E445" s="15"/>
      <c r="F445" s="49"/>
      <c r="J445" s="15"/>
      <c r="L445" s="15"/>
    </row>
    <row r="446" spans="2:12" ht="15.75" customHeight="1">
      <c r="B446" s="15"/>
      <c r="C446" s="15"/>
      <c r="D446" s="15"/>
      <c r="E446" s="15"/>
      <c r="F446" s="49"/>
      <c r="J446" s="15"/>
      <c r="L446" s="15"/>
    </row>
    <row r="447" spans="2:12" ht="15.75" customHeight="1">
      <c r="B447" s="15"/>
      <c r="C447" s="15"/>
      <c r="D447" s="15"/>
      <c r="E447" s="15"/>
      <c r="F447" s="49"/>
      <c r="J447" s="15"/>
      <c r="L447" s="15"/>
    </row>
    <row r="448" spans="2:12" ht="15.75" customHeight="1">
      <c r="B448" s="15"/>
      <c r="C448" s="15"/>
      <c r="D448" s="15"/>
      <c r="E448" s="15"/>
      <c r="F448" s="49"/>
      <c r="J448" s="15"/>
      <c r="L448" s="15"/>
    </row>
    <row r="449" spans="2:12" ht="15.75" customHeight="1">
      <c r="B449" s="15"/>
      <c r="C449" s="15"/>
      <c r="D449" s="15"/>
      <c r="E449" s="15"/>
      <c r="F449" s="49"/>
      <c r="J449" s="15"/>
      <c r="L449" s="15"/>
    </row>
    <row r="450" spans="2:12" ht="15.75" customHeight="1">
      <c r="B450" s="15"/>
      <c r="C450" s="15"/>
      <c r="D450" s="15"/>
      <c r="E450" s="15"/>
      <c r="F450" s="49"/>
      <c r="J450" s="15"/>
      <c r="L450" s="15"/>
    </row>
    <row r="451" spans="2:12" ht="15.75" customHeight="1">
      <c r="B451" s="15"/>
      <c r="C451" s="15"/>
      <c r="D451" s="15"/>
      <c r="E451" s="15"/>
      <c r="F451" s="49"/>
      <c r="J451" s="15"/>
      <c r="L451" s="15"/>
    </row>
    <row r="452" spans="2:12" ht="15.75" customHeight="1">
      <c r="B452" s="15"/>
      <c r="C452" s="15"/>
      <c r="D452" s="15"/>
      <c r="E452" s="15"/>
      <c r="F452" s="49"/>
      <c r="J452" s="15"/>
      <c r="L452" s="15"/>
    </row>
    <row r="453" spans="2:12" ht="15.75" customHeight="1">
      <c r="B453" s="15"/>
      <c r="C453" s="15"/>
      <c r="D453" s="15"/>
      <c r="E453" s="15"/>
      <c r="F453" s="49"/>
      <c r="J453" s="15"/>
      <c r="L453" s="15"/>
    </row>
    <row r="454" spans="2:12" ht="15.75" customHeight="1">
      <c r="B454" s="15"/>
      <c r="C454" s="15"/>
      <c r="D454" s="15"/>
      <c r="E454" s="15"/>
      <c r="F454" s="49"/>
      <c r="J454" s="15"/>
      <c r="L454" s="15"/>
    </row>
    <row r="455" spans="2:12" ht="15.75" customHeight="1">
      <c r="B455" s="15"/>
      <c r="C455" s="15"/>
      <c r="D455" s="15"/>
      <c r="E455" s="15"/>
      <c r="F455" s="49"/>
      <c r="J455" s="15"/>
      <c r="L455" s="15"/>
    </row>
    <row r="456" spans="2:12" ht="15.75" customHeight="1">
      <c r="B456" s="15"/>
      <c r="C456" s="15"/>
      <c r="D456" s="15"/>
      <c r="E456" s="15"/>
      <c r="F456" s="49"/>
      <c r="J456" s="15"/>
      <c r="L456" s="15"/>
    </row>
    <row r="457" spans="2:12" ht="15.75" customHeight="1">
      <c r="B457" s="15"/>
      <c r="C457" s="15"/>
      <c r="D457" s="15"/>
      <c r="E457" s="15"/>
      <c r="F457" s="49"/>
      <c r="J457" s="15"/>
      <c r="L457" s="15"/>
    </row>
    <row r="458" spans="2:12" ht="15.75" customHeight="1">
      <c r="B458" s="15"/>
      <c r="C458" s="15"/>
      <c r="D458" s="15"/>
      <c r="E458" s="15"/>
      <c r="F458" s="49"/>
      <c r="J458" s="15"/>
      <c r="L458" s="15"/>
    </row>
    <row r="459" spans="2:12" ht="15.75" customHeight="1">
      <c r="B459" s="15"/>
      <c r="C459" s="15"/>
      <c r="D459" s="15"/>
      <c r="E459" s="15"/>
      <c r="F459" s="49"/>
      <c r="J459" s="15"/>
      <c r="L459" s="15"/>
    </row>
    <row r="460" spans="2:12" ht="15.75" customHeight="1">
      <c r="B460" s="15"/>
      <c r="C460" s="15"/>
      <c r="D460" s="15"/>
      <c r="E460" s="15"/>
      <c r="F460" s="49"/>
      <c r="J460" s="15"/>
      <c r="L460" s="15"/>
    </row>
    <row r="461" spans="2:12" ht="15.75" customHeight="1">
      <c r="B461" s="15"/>
      <c r="C461" s="15"/>
      <c r="D461" s="15"/>
      <c r="E461" s="15"/>
      <c r="F461" s="49"/>
      <c r="J461" s="15"/>
      <c r="L461" s="15"/>
    </row>
    <row r="462" spans="2:12" ht="15.75" customHeight="1">
      <c r="B462" s="15"/>
      <c r="C462" s="15"/>
      <c r="D462" s="15"/>
      <c r="E462" s="15"/>
      <c r="F462" s="49"/>
      <c r="J462" s="15"/>
      <c r="L462" s="15"/>
    </row>
    <row r="463" spans="2:12" ht="15.75" customHeight="1">
      <c r="B463" s="15"/>
      <c r="C463" s="15"/>
      <c r="D463" s="15"/>
      <c r="E463" s="15"/>
      <c r="F463" s="49"/>
      <c r="J463" s="15"/>
      <c r="L463" s="15"/>
    </row>
    <row r="464" spans="2:12" ht="15.75" customHeight="1">
      <c r="B464" s="15"/>
      <c r="C464" s="15"/>
      <c r="D464" s="15"/>
      <c r="E464" s="15"/>
      <c r="F464" s="49"/>
      <c r="J464" s="15"/>
      <c r="L464" s="15"/>
    </row>
    <row r="465" spans="2:12" ht="15.75" customHeight="1">
      <c r="B465" s="15"/>
      <c r="C465" s="15"/>
      <c r="D465" s="15"/>
      <c r="E465" s="15"/>
      <c r="F465" s="49"/>
      <c r="J465" s="15"/>
      <c r="L465" s="15"/>
    </row>
    <row r="466" spans="2:12" ht="15.75" customHeight="1">
      <c r="B466" s="15"/>
      <c r="C466" s="15"/>
      <c r="D466" s="15"/>
      <c r="E466" s="15"/>
      <c r="F466" s="49"/>
      <c r="J466" s="15"/>
      <c r="L466" s="15"/>
    </row>
    <row r="467" spans="2:12" ht="15.75" customHeight="1">
      <c r="B467" s="15"/>
      <c r="C467" s="15"/>
      <c r="D467" s="15"/>
      <c r="E467" s="15"/>
      <c r="F467" s="49"/>
      <c r="J467" s="15"/>
      <c r="L467" s="15"/>
    </row>
    <row r="468" spans="2:12" ht="15.75" customHeight="1">
      <c r="B468" s="15"/>
      <c r="C468" s="15"/>
      <c r="D468" s="15"/>
      <c r="E468" s="15"/>
      <c r="F468" s="49"/>
      <c r="J468" s="15"/>
      <c r="L468" s="15"/>
    </row>
    <row r="469" spans="2:12" ht="15.75" customHeight="1">
      <c r="B469" s="15"/>
      <c r="C469" s="15"/>
      <c r="D469" s="15"/>
      <c r="E469" s="15"/>
      <c r="F469" s="49"/>
      <c r="J469" s="15"/>
      <c r="L469" s="15"/>
    </row>
    <row r="470" spans="2:12" ht="15.75" customHeight="1">
      <c r="B470" s="15"/>
      <c r="C470" s="15"/>
      <c r="D470" s="15"/>
      <c r="E470" s="15"/>
      <c r="F470" s="49"/>
      <c r="J470" s="15"/>
      <c r="L470" s="15"/>
    </row>
    <row r="471" spans="2:12" ht="15.75" customHeight="1">
      <c r="B471" s="15"/>
      <c r="C471" s="15"/>
      <c r="D471" s="15"/>
      <c r="E471" s="15"/>
      <c r="F471" s="49"/>
      <c r="J471" s="15"/>
      <c r="L471" s="15"/>
    </row>
    <row r="472" spans="2:12" ht="15.75" customHeight="1">
      <c r="B472" s="15"/>
      <c r="C472" s="15"/>
      <c r="D472" s="15"/>
      <c r="E472" s="15"/>
      <c r="F472" s="49"/>
      <c r="J472" s="15"/>
      <c r="L472" s="15"/>
    </row>
    <row r="473" spans="2:12" ht="15.75" customHeight="1">
      <c r="B473" s="15"/>
      <c r="C473" s="15"/>
      <c r="D473" s="15"/>
      <c r="E473" s="15"/>
      <c r="F473" s="49"/>
      <c r="J473" s="15"/>
      <c r="L473" s="15"/>
    </row>
    <row r="474" spans="2:12" ht="15.75" customHeight="1">
      <c r="B474" s="15"/>
      <c r="C474" s="15"/>
      <c r="D474" s="15"/>
      <c r="E474" s="15"/>
      <c r="F474" s="49"/>
      <c r="J474" s="15"/>
      <c r="L474" s="15"/>
    </row>
    <row r="475" spans="2:12" ht="15.75" customHeight="1">
      <c r="B475" s="15"/>
      <c r="C475" s="15"/>
      <c r="D475" s="15"/>
      <c r="E475" s="15"/>
      <c r="F475" s="49"/>
      <c r="J475" s="15"/>
      <c r="L475" s="15"/>
    </row>
    <row r="476" spans="2:12" ht="15.75" customHeight="1">
      <c r="B476" s="15"/>
      <c r="C476" s="15"/>
      <c r="D476" s="15"/>
      <c r="E476" s="15"/>
      <c r="F476" s="49"/>
      <c r="J476" s="15"/>
      <c r="L476" s="15"/>
    </row>
    <row r="477" spans="2:12" ht="15.75" customHeight="1">
      <c r="B477" s="15"/>
      <c r="C477" s="15"/>
      <c r="D477" s="15"/>
      <c r="E477" s="15"/>
      <c r="F477" s="49"/>
      <c r="J477" s="15"/>
      <c r="L477" s="15"/>
    </row>
    <row r="478" spans="2:12" ht="15.75" customHeight="1">
      <c r="B478" s="15"/>
      <c r="C478" s="15"/>
      <c r="D478" s="15"/>
      <c r="E478" s="15"/>
      <c r="F478" s="49"/>
      <c r="J478" s="15"/>
      <c r="L478" s="15"/>
    </row>
    <row r="479" spans="2:12" ht="15.75" customHeight="1">
      <c r="B479" s="15"/>
      <c r="C479" s="15"/>
      <c r="D479" s="15"/>
      <c r="E479" s="15"/>
      <c r="F479" s="49"/>
      <c r="J479" s="15"/>
      <c r="L479" s="15"/>
    </row>
    <row r="480" spans="2:12" ht="15.75" customHeight="1">
      <c r="B480" s="15"/>
      <c r="C480" s="15"/>
      <c r="D480" s="15"/>
      <c r="E480" s="15"/>
      <c r="F480" s="49"/>
      <c r="J480" s="15"/>
      <c r="L480" s="15"/>
    </row>
    <row r="481" spans="2:12" ht="15.75" customHeight="1">
      <c r="B481" s="15"/>
      <c r="C481" s="15"/>
      <c r="D481" s="15"/>
      <c r="E481" s="15"/>
      <c r="F481" s="49"/>
      <c r="J481" s="15"/>
      <c r="L481" s="15"/>
    </row>
    <row r="482" spans="2:12" ht="15.75" customHeight="1">
      <c r="B482" s="15"/>
      <c r="C482" s="15"/>
      <c r="D482" s="15"/>
      <c r="E482" s="15"/>
      <c r="F482" s="49"/>
      <c r="J482" s="15"/>
      <c r="L482" s="15"/>
    </row>
    <row r="483" spans="2:12" ht="15.75" customHeight="1">
      <c r="B483" s="15"/>
      <c r="C483" s="15"/>
      <c r="D483" s="15"/>
      <c r="E483" s="15"/>
      <c r="F483" s="49"/>
      <c r="J483" s="15"/>
      <c r="L483" s="15"/>
    </row>
    <row r="484" spans="2:12" ht="15.75" customHeight="1">
      <c r="B484" s="15"/>
      <c r="C484" s="15"/>
      <c r="D484" s="15"/>
      <c r="E484" s="15"/>
      <c r="F484" s="49"/>
      <c r="J484" s="15"/>
      <c r="L484" s="15"/>
    </row>
    <row r="485" spans="2:12" ht="15.75" customHeight="1">
      <c r="B485" s="15"/>
      <c r="C485" s="15"/>
      <c r="D485" s="15"/>
      <c r="E485" s="15"/>
      <c r="F485" s="49"/>
      <c r="J485" s="15"/>
      <c r="L485" s="15"/>
    </row>
    <row r="486" spans="2:12" ht="15.75" customHeight="1">
      <c r="B486" s="15"/>
      <c r="C486" s="15"/>
      <c r="D486" s="15"/>
      <c r="E486" s="15"/>
      <c r="F486" s="49"/>
      <c r="J486" s="15"/>
      <c r="L486" s="15"/>
    </row>
    <row r="487" spans="2:12" ht="15.75" customHeight="1">
      <c r="B487" s="15"/>
      <c r="C487" s="15"/>
      <c r="D487" s="15"/>
      <c r="E487" s="15"/>
      <c r="F487" s="49"/>
      <c r="J487" s="15"/>
      <c r="L487" s="15"/>
    </row>
    <row r="488" spans="2:12" ht="15.75" customHeight="1">
      <c r="B488" s="15"/>
      <c r="C488" s="15"/>
      <c r="D488" s="15"/>
      <c r="E488" s="15"/>
      <c r="F488" s="49"/>
      <c r="J488" s="15"/>
      <c r="L488" s="15"/>
    </row>
    <row r="489" spans="2:12" ht="15.75" customHeight="1">
      <c r="B489" s="15"/>
      <c r="C489" s="15"/>
      <c r="D489" s="15"/>
      <c r="E489" s="15"/>
      <c r="F489" s="49"/>
      <c r="J489" s="15"/>
      <c r="L489" s="15"/>
    </row>
    <row r="490" spans="2:12" ht="15.75" customHeight="1">
      <c r="B490" s="15"/>
      <c r="C490" s="15"/>
      <c r="D490" s="15"/>
      <c r="E490" s="15"/>
      <c r="F490" s="49"/>
      <c r="J490" s="15"/>
      <c r="L490" s="15"/>
    </row>
    <row r="491" spans="2:12" ht="15.75" customHeight="1">
      <c r="B491" s="15"/>
      <c r="C491" s="15"/>
      <c r="D491" s="15"/>
      <c r="E491" s="15"/>
      <c r="F491" s="49"/>
      <c r="J491" s="15"/>
      <c r="L491" s="15"/>
    </row>
    <row r="492" spans="2:12" ht="15.75" customHeight="1">
      <c r="B492" s="15"/>
      <c r="C492" s="15"/>
      <c r="D492" s="15"/>
      <c r="E492" s="15"/>
      <c r="F492" s="49"/>
      <c r="J492" s="15"/>
      <c r="L492" s="15"/>
    </row>
    <row r="493" spans="2:12" ht="15.75" customHeight="1">
      <c r="B493" s="15"/>
      <c r="C493" s="15"/>
      <c r="D493" s="15"/>
      <c r="E493" s="15"/>
      <c r="F493" s="49"/>
      <c r="J493" s="15"/>
      <c r="L493" s="15"/>
    </row>
    <row r="494" spans="2:12" ht="15.75" customHeight="1">
      <c r="B494" s="15"/>
      <c r="C494" s="15"/>
      <c r="D494" s="15"/>
      <c r="E494" s="15"/>
      <c r="F494" s="49"/>
      <c r="J494" s="15"/>
      <c r="L494" s="15"/>
    </row>
    <row r="495" spans="2:12" ht="15.75" customHeight="1">
      <c r="B495" s="15"/>
      <c r="C495" s="15"/>
      <c r="D495" s="15"/>
      <c r="E495" s="15"/>
      <c r="F495" s="49"/>
      <c r="J495" s="15"/>
      <c r="L495" s="15"/>
    </row>
    <row r="496" spans="2:12" ht="15.75" customHeight="1">
      <c r="B496" s="15"/>
      <c r="C496" s="15"/>
      <c r="D496" s="15"/>
      <c r="E496" s="15"/>
      <c r="F496" s="49"/>
      <c r="J496" s="15"/>
      <c r="L496" s="15"/>
    </row>
    <row r="497" spans="2:12" ht="15.75" customHeight="1">
      <c r="B497" s="15"/>
      <c r="C497" s="15"/>
      <c r="D497" s="15"/>
      <c r="E497" s="15"/>
      <c r="F497" s="49"/>
      <c r="J497" s="15"/>
      <c r="L497" s="15"/>
    </row>
    <row r="498" spans="2:12" ht="15.75" customHeight="1">
      <c r="B498" s="15"/>
      <c r="C498" s="15"/>
      <c r="D498" s="15"/>
      <c r="E498" s="15"/>
      <c r="F498" s="49"/>
      <c r="J498" s="15"/>
      <c r="L498" s="15"/>
    </row>
    <row r="499" spans="2:12" ht="15.75" customHeight="1">
      <c r="B499" s="15"/>
      <c r="C499" s="15"/>
      <c r="D499" s="15"/>
      <c r="E499" s="15"/>
      <c r="F499" s="49"/>
      <c r="J499" s="15"/>
      <c r="L499" s="15"/>
    </row>
    <row r="500" spans="2:12" ht="15.75" customHeight="1">
      <c r="B500" s="15"/>
      <c r="C500" s="15"/>
      <c r="D500" s="15"/>
      <c r="E500" s="15"/>
      <c r="F500" s="49"/>
      <c r="J500" s="15"/>
      <c r="L500" s="15"/>
    </row>
    <row r="501" spans="2:12" ht="15.75" customHeight="1">
      <c r="B501" s="15"/>
      <c r="C501" s="15"/>
      <c r="D501" s="15"/>
      <c r="E501" s="15"/>
      <c r="F501" s="49"/>
      <c r="J501" s="15"/>
      <c r="L501" s="15"/>
    </row>
    <row r="502" spans="2:12" ht="15.75" customHeight="1">
      <c r="B502" s="15"/>
      <c r="C502" s="15"/>
      <c r="D502" s="15"/>
      <c r="E502" s="15"/>
      <c r="F502" s="49"/>
      <c r="J502" s="15"/>
      <c r="L502" s="15"/>
    </row>
    <row r="503" spans="2:12" ht="15.75" customHeight="1">
      <c r="B503" s="15"/>
      <c r="C503" s="15"/>
      <c r="D503" s="15"/>
      <c r="E503" s="15"/>
      <c r="F503" s="49"/>
      <c r="J503" s="15"/>
      <c r="L503" s="15"/>
    </row>
    <row r="504" spans="2:12" ht="15.75" customHeight="1">
      <c r="B504" s="15"/>
      <c r="C504" s="15"/>
      <c r="D504" s="15"/>
      <c r="E504" s="15"/>
      <c r="F504" s="49"/>
      <c r="J504" s="15"/>
      <c r="L504" s="15"/>
    </row>
    <row r="505" spans="2:12" ht="15.75" customHeight="1">
      <c r="B505" s="15"/>
      <c r="C505" s="15"/>
      <c r="D505" s="15"/>
      <c r="E505" s="15"/>
      <c r="F505" s="49"/>
      <c r="J505" s="15"/>
      <c r="L505" s="15"/>
    </row>
    <row r="506" spans="2:12" ht="15.75" customHeight="1">
      <c r="B506" s="15"/>
      <c r="C506" s="15"/>
      <c r="D506" s="15"/>
      <c r="E506" s="15"/>
      <c r="F506" s="49"/>
      <c r="J506" s="15"/>
      <c r="L506" s="15"/>
    </row>
    <row r="507" spans="2:12" ht="15.75" customHeight="1">
      <c r="B507" s="15"/>
      <c r="C507" s="15"/>
      <c r="D507" s="15"/>
      <c r="E507" s="15"/>
      <c r="F507" s="49"/>
      <c r="J507" s="15"/>
      <c r="L507" s="15"/>
    </row>
    <row r="508" spans="2:12" ht="15.75" customHeight="1">
      <c r="B508" s="15"/>
      <c r="C508" s="15"/>
      <c r="D508" s="15"/>
      <c r="E508" s="15"/>
      <c r="F508" s="49"/>
      <c r="J508" s="15"/>
      <c r="L508" s="15"/>
    </row>
    <row r="509" spans="2:12" ht="15.75" customHeight="1">
      <c r="B509" s="15"/>
      <c r="C509" s="15"/>
      <c r="D509" s="15"/>
      <c r="E509" s="15"/>
      <c r="F509" s="49"/>
      <c r="J509" s="15"/>
      <c r="L509" s="15"/>
    </row>
    <row r="510" spans="2:12" ht="15.75" customHeight="1">
      <c r="B510" s="15"/>
      <c r="C510" s="15"/>
      <c r="D510" s="15"/>
      <c r="E510" s="15"/>
      <c r="F510" s="49"/>
      <c r="J510" s="15"/>
      <c r="L510" s="15"/>
    </row>
    <row r="511" spans="2:12" ht="15.75" customHeight="1">
      <c r="B511" s="15"/>
      <c r="C511" s="15"/>
      <c r="D511" s="15"/>
      <c r="E511" s="15"/>
      <c r="F511" s="49"/>
      <c r="J511" s="15"/>
      <c r="L511" s="15"/>
    </row>
    <row r="512" spans="2:12" ht="15.75" customHeight="1">
      <c r="B512" s="15"/>
      <c r="C512" s="15"/>
      <c r="D512" s="15"/>
      <c r="E512" s="15"/>
      <c r="F512" s="49"/>
      <c r="J512" s="15"/>
      <c r="L512" s="15"/>
    </row>
    <row r="513" spans="2:12" ht="15.75" customHeight="1">
      <c r="B513" s="15"/>
      <c r="C513" s="15"/>
      <c r="D513" s="15"/>
      <c r="E513" s="15"/>
      <c r="F513" s="49"/>
      <c r="J513" s="15"/>
      <c r="L513" s="15"/>
    </row>
    <row r="514" spans="2:12" ht="15.75" customHeight="1">
      <c r="B514" s="15"/>
      <c r="C514" s="15"/>
      <c r="D514" s="15"/>
      <c r="E514" s="15"/>
      <c r="F514" s="49"/>
      <c r="J514" s="15"/>
      <c r="L514" s="15"/>
    </row>
    <row r="515" spans="2:12" ht="15.75" customHeight="1">
      <c r="B515" s="15"/>
      <c r="C515" s="15"/>
      <c r="D515" s="15"/>
      <c r="E515" s="15"/>
      <c r="F515" s="49"/>
      <c r="J515" s="15"/>
      <c r="L515" s="15"/>
    </row>
    <row r="516" spans="2:12" ht="15.75" customHeight="1">
      <c r="B516" s="15"/>
      <c r="C516" s="15"/>
      <c r="D516" s="15"/>
      <c r="E516" s="15"/>
      <c r="F516" s="49"/>
      <c r="J516" s="15"/>
      <c r="L516" s="15"/>
    </row>
    <row r="517" spans="2:12" ht="15.75" customHeight="1">
      <c r="B517" s="15"/>
      <c r="C517" s="15"/>
      <c r="D517" s="15"/>
      <c r="E517" s="15"/>
      <c r="F517" s="49"/>
      <c r="J517" s="15"/>
      <c r="L517" s="15"/>
    </row>
    <row r="518" spans="2:12" ht="15.75" customHeight="1">
      <c r="B518" s="15"/>
      <c r="C518" s="15"/>
      <c r="D518" s="15"/>
      <c r="E518" s="15"/>
      <c r="F518" s="49"/>
      <c r="J518" s="15"/>
      <c r="L518" s="15"/>
    </row>
    <row r="519" spans="2:12" ht="15.75" customHeight="1">
      <c r="B519" s="15"/>
      <c r="C519" s="15"/>
      <c r="D519" s="15"/>
      <c r="E519" s="15"/>
      <c r="F519" s="49"/>
      <c r="J519" s="15"/>
      <c r="L519" s="15"/>
    </row>
    <row r="520" spans="2:12" ht="15.75" customHeight="1">
      <c r="B520" s="15"/>
      <c r="C520" s="15"/>
      <c r="D520" s="15"/>
      <c r="E520" s="15"/>
      <c r="F520" s="49"/>
      <c r="J520" s="15"/>
      <c r="L520" s="15"/>
    </row>
    <row r="521" spans="2:12" ht="15.75" customHeight="1">
      <c r="B521" s="15"/>
      <c r="C521" s="15"/>
      <c r="D521" s="15"/>
      <c r="E521" s="15"/>
      <c r="F521" s="49"/>
      <c r="J521" s="15"/>
      <c r="L521" s="15"/>
    </row>
    <row r="522" spans="2:12" ht="15.75" customHeight="1">
      <c r="B522" s="15"/>
      <c r="C522" s="15"/>
      <c r="D522" s="15"/>
      <c r="E522" s="15"/>
      <c r="F522" s="49"/>
      <c r="J522" s="15"/>
      <c r="L522" s="15"/>
    </row>
    <row r="523" spans="2:12" ht="15.75" customHeight="1">
      <c r="B523" s="15"/>
      <c r="C523" s="15"/>
      <c r="D523" s="15"/>
      <c r="E523" s="15"/>
      <c r="F523" s="49"/>
      <c r="J523" s="15"/>
      <c r="L523" s="15"/>
    </row>
    <row r="524" spans="2:12" ht="15.75" customHeight="1">
      <c r="B524" s="15"/>
      <c r="C524" s="15"/>
      <c r="D524" s="15"/>
      <c r="E524" s="15"/>
      <c r="F524" s="49"/>
      <c r="J524" s="15"/>
      <c r="L524" s="15"/>
    </row>
    <row r="525" spans="2:12" ht="15.75" customHeight="1">
      <c r="B525" s="15"/>
      <c r="C525" s="15"/>
      <c r="D525" s="15"/>
      <c r="E525" s="15"/>
      <c r="F525" s="49"/>
      <c r="J525" s="15"/>
      <c r="L525" s="15"/>
    </row>
    <row r="526" spans="2:12" ht="15.75" customHeight="1">
      <c r="B526" s="15"/>
      <c r="C526" s="15"/>
      <c r="D526" s="15"/>
      <c r="E526" s="15"/>
      <c r="F526" s="49"/>
      <c r="J526" s="15"/>
      <c r="L526" s="15"/>
    </row>
    <row r="527" spans="2:12" ht="15.75" customHeight="1">
      <c r="B527" s="15"/>
      <c r="C527" s="15"/>
      <c r="D527" s="15"/>
      <c r="E527" s="15"/>
      <c r="F527" s="49"/>
      <c r="J527" s="15"/>
      <c r="L527" s="15"/>
    </row>
    <row r="528" spans="2:12" ht="15.75" customHeight="1">
      <c r="B528" s="15"/>
      <c r="C528" s="15"/>
      <c r="D528" s="15"/>
      <c r="E528" s="15"/>
      <c r="F528" s="49"/>
      <c r="J528" s="15"/>
      <c r="L528" s="15"/>
    </row>
    <row r="529" spans="2:12" ht="15.75" customHeight="1">
      <c r="B529" s="15"/>
      <c r="C529" s="15"/>
      <c r="D529" s="15"/>
      <c r="E529" s="15"/>
      <c r="F529" s="49"/>
      <c r="J529" s="15"/>
      <c r="L529" s="15"/>
    </row>
    <row r="530" spans="2:12" ht="15.75" customHeight="1">
      <c r="B530" s="15"/>
      <c r="C530" s="15"/>
      <c r="D530" s="15"/>
      <c r="E530" s="15"/>
      <c r="F530" s="49"/>
      <c r="J530" s="15"/>
      <c r="L530" s="15"/>
    </row>
    <row r="531" spans="2:12" ht="15.75" customHeight="1">
      <c r="B531" s="15"/>
      <c r="C531" s="15"/>
      <c r="D531" s="15"/>
      <c r="E531" s="15"/>
      <c r="F531" s="49"/>
      <c r="J531" s="15"/>
      <c r="L531" s="15"/>
    </row>
    <row r="532" spans="2:12" ht="15.75" customHeight="1">
      <c r="B532" s="15"/>
      <c r="C532" s="15"/>
      <c r="D532" s="15"/>
      <c r="E532" s="15"/>
      <c r="F532" s="49"/>
      <c r="J532" s="15"/>
      <c r="L532" s="15"/>
    </row>
    <row r="533" spans="2:12" ht="15.75" customHeight="1">
      <c r="B533" s="15"/>
      <c r="C533" s="15"/>
      <c r="D533" s="15"/>
      <c r="E533" s="15"/>
      <c r="F533" s="49"/>
      <c r="J533" s="15"/>
      <c r="L533" s="15"/>
    </row>
    <row r="534" spans="2:12" ht="15.75" customHeight="1">
      <c r="B534" s="15"/>
      <c r="C534" s="15"/>
      <c r="D534" s="15"/>
      <c r="E534" s="15"/>
      <c r="F534" s="49"/>
      <c r="J534" s="15"/>
      <c r="L534" s="15"/>
    </row>
    <row r="535" spans="2:12" ht="15.75" customHeight="1">
      <c r="B535" s="15"/>
      <c r="C535" s="15"/>
      <c r="D535" s="15"/>
      <c r="E535" s="15"/>
      <c r="F535" s="49"/>
      <c r="J535" s="15"/>
      <c r="L535" s="15"/>
    </row>
    <row r="536" spans="2:12" ht="15.75" customHeight="1">
      <c r="B536" s="15"/>
      <c r="C536" s="15"/>
      <c r="D536" s="15"/>
      <c r="E536" s="15"/>
      <c r="F536" s="49"/>
      <c r="J536" s="15"/>
      <c r="L536" s="15"/>
    </row>
    <row r="537" spans="2:12" ht="15.75" customHeight="1">
      <c r="B537" s="15"/>
      <c r="C537" s="15"/>
      <c r="D537" s="15"/>
      <c r="E537" s="15"/>
      <c r="F537" s="49"/>
      <c r="J537" s="15"/>
      <c r="L537" s="15"/>
    </row>
    <row r="538" spans="2:12" ht="15.75" customHeight="1">
      <c r="B538" s="15"/>
      <c r="C538" s="15"/>
      <c r="D538" s="15"/>
      <c r="E538" s="15"/>
      <c r="F538" s="49"/>
      <c r="J538" s="15"/>
      <c r="L538" s="15"/>
    </row>
    <row r="539" spans="2:12" ht="15.75" customHeight="1">
      <c r="B539" s="15"/>
      <c r="C539" s="15"/>
      <c r="D539" s="15"/>
      <c r="E539" s="15"/>
      <c r="F539" s="49"/>
      <c r="J539" s="15"/>
      <c r="L539" s="15"/>
    </row>
    <row r="540" spans="2:12" ht="15.75" customHeight="1">
      <c r="B540" s="15"/>
      <c r="C540" s="15"/>
      <c r="D540" s="15"/>
      <c r="E540" s="15"/>
      <c r="F540" s="49"/>
      <c r="J540" s="15"/>
      <c r="L540" s="15"/>
    </row>
    <row r="541" spans="2:12" ht="15.75" customHeight="1">
      <c r="B541" s="15"/>
      <c r="C541" s="15"/>
      <c r="D541" s="15"/>
      <c r="E541" s="15"/>
      <c r="F541" s="49"/>
      <c r="J541" s="15"/>
      <c r="L541" s="15"/>
    </row>
    <row r="542" spans="2:12" ht="15.75" customHeight="1">
      <c r="B542" s="15"/>
      <c r="C542" s="15"/>
      <c r="D542" s="15"/>
      <c r="E542" s="15"/>
      <c r="F542" s="49"/>
      <c r="J542" s="15"/>
      <c r="L542" s="15"/>
    </row>
    <row r="543" spans="2:12" ht="15.75" customHeight="1">
      <c r="B543" s="15"/>
      <c r="C543" s="15"/>
      <c r="D543" s="15"/>
      <c r="E543" s="15"/>
      <c r="F543" s="49"/>
      <c r="J543" s="15"/>
      <c r="L543" s="15"/>
    </row>
    <row r="544" spans="2:12" ht="15.75" customHeight="1">
      <c r="B544" s="15"/>
      <c r="C544" s="15"/>
      <c r="D544" s="15"/>
      <c r="E544" s="15"/>
      <c r="F544" s="49"/>
      <c r="J544" s="15"/>
      <c r="L544" s="15"/>
    </row>
    <row r="545" spans="2:12" ht="15.75" customHeight="1">
      <c r="B545" s="15"/>
      <c r="C545" s="15"/>
      <c r="D545" s="15"/>
      <c r="E545" s="15"/>
      <c r="F545" s="49"/>
      <c r="J545" s="15"/>
      <c r="L545" s="15"/>
    </row>
    <row r="546" spans="2:12" ht="15.75" customHeight="1">
      <c r="B546" s="15"/>
      <c r="C546" s="15"/>
      <c r="D546" s="15"/>
      <c r="E546" s="15"/>
      <c r="F546" s="49"/>
      <c r="J546" s="15"/>
      <c r="L546" s="15"/>
    </row>
    <row r="547" spans="2:12" ht="15.75" customHeight="1">
      <c r="B547" s="15"/>
      <c r="C547" s="15"/>
      <c r="D547" s="15"/>
      <c r="E547" s="15"/>
      <c r="F547" s="49"/>
      <c r="J547" s="15"/>
      <c r="L547" s="15"/>
    </row>
    <row r="548" spans="2:12" ht="15.75" customHeight="1">
      <c r="B548" s="15"/>
      <c r="C548" s="15"/>
      <c r="D548" s="15"/>
      <c r="E548" s="15"/>
      <c r="F548" s="49"/>
      <c r="J548" s="15"/>
      <c r="L548" s="15"/>
    </row>
    <row r="549" spans="2:12" ht="15.75" customHeight="1">
      <c r="B549" s="15"/>
      <c r="C549" s="15"/>
      <c r="D549" s="15"/>
      <c r="E549" s="15"/>
      <c r="F549" s="49"/>
      <c r="J549" s="15"/>
      <c r="L549" s="15"/>
    </row>
    <row r="550" spans="2:12" ht="15.75" customHeight="1">
      <c r="B550" s="15"/>
      <c r="C550" s="15"/>
      <c r="D550" s="15"/>
      <c r="E550" s="15"/>
      <c r="F550" s="49"/>
      <c r="J550" s="15"/>
      <c r="L550" s="15"/>
    </row>
    <row r="551" spans="2:12" ht="15.75" customHeight="1">
      <c r="B551" s="15"/>
      <c r="C551" s="15"/>
      <c r="D551" s="15"/>
      <c r="E551" s="15"/>
      <c r="F551" s="49"/>
      <c r="J551" s="15"/>
      <c r="L551" s="15"/>
    </row>
    <row r="552" spans="2:12" ht="15.75" customHeight="1">
      <c r="B552" s="15"/>
      <c r="C552" s="15"/>
      <c r="D552" s="15"/>
      <c r="E552" s="15"/>
      <c r="F552" s="49"/>
      <c r="J552" s="15"/>
      <c r="L552" s="15"/>
    </row>
    <row r="553" spans="2:12" ht="15.75" customHeight="1">
      <c r="B553" s="15"/>
      <c r="C553" s="15"/>
      <c r="D553" s="15"/>
      <c r="E553" s="15"/>
      <c r="F553" s="49"/>
      <c r="J553" s="15"/>
      <c r="L553" s="15"/>
    </row>
    <row r="554" spans="2:12" ht="15.75" customHeight="1">
      <c r="B554" s="15"/>
      <c r="C554" s="15"/>
      <c r="D554" s="15"/>
      <c r="E554" s="15"/>
      <c r="F554" s="49"/>
      <c r="J554" s="15"/>
      <c r="L554" s="15"/>
    </row>
    <row r="555" spans="2:12" ht="15.75" customHeight="1">
      <c r="B555" s="15"/>
      <c r="C555" s="15"/>
      <c r="D555" s="15"/>
      <c r="E555" s="15"/>
      <c r="F555" s="49"/>
      <c r="J555" s="15"/>
      <c r="L555" s="15"/>
    </row>
    <row r="556" spans="2:12" ht="15.75" customHeight="1">
      <c r="B556" s="15"/>
      <c r="C556" s="15"/>
      <c r="D556" s="15"/>
      <c r="E556" s="15"/>
      <c r="F556" s="49"/>
      <c r="J556" s="15"/>
      <c r="L556" s="15"/>
    </row>
    <row r="557" spans="2:12" ht="15.75" customHeight="1">
      <c r="B557" s="15"/>
      <c r="C557" s="15"/>
      <c r="D557" s="15"/>
      <c r="E557" s="15"/>
      <c r="F557" s="49"/>
      <c r="J557" s="15"/>
      <c r="L557" s="15"/>
    </row>
    <row r="558" spans="2:12" ht="15.75" customHeight="1">
      <c r="B558" s="15"/>
      <c r="C558" s="15"/>
      <c r="D558" s="15"/>
      <c r="E558" s="15"/>
      <c r="F558" s="49"/>
      <c r="J558" s="15"/>
      <c r="L558" s="15"/>
    </row>
    <row r="559" spans="2:12" ht="15.75" customHeight="1">
      <c r="B559" s="15"/>
      <c r="C559" s="15"/>
      <c r="D559" s="15"/>
      <c r="E559" s="15"/>
      <c r="F559" s="49"/>
      <c r="J559" s="15"/>
      <c r="L559" s="15"/>
    </row>
    <row r="560" spans="2:12" ht="15.75" customHeight="1">
      <c r="B560" s="15"/>
      <c r="C560" s="15"/>
      <c r="D560" s="15"/>
      <c r="E560" s="15"/>
      <c r="F560" s="49"/>
      <c r="J560" s="15"/>
      <c r="L560" s="15"/>
    </row>
    <row r="561" spans="2:12" ht="15.75" customHeight="1">
      <c r="B561" s="15"/>
      <c r="C561" s="15"/>
      <c r="D561" s="15"/>
      <c r="E561" s="15"/>
      <c r="F561" s="49"/>
      <c r="J561" s="15"/>
      <c r="L561" s="15"/>
    </row>
    <row r="562" spans="2:12" ht="15.75" customHeight="1">
      <c r="B562" s="15"/>
      <c r="C562" s="15"/>
      <c r="D562" s="15"/>
      <c r="E562" s="15"/>
      <c r="F562" s="49"/>
      <c r="J562" s="15"/>
      <c r="L562" s="15"/>
    </row>
    <row r="563" spans="2:12" ht="15.75" customHeight="1">
      <c r="B563" s="15"/>
      <c r="C563" s="15"/>
      <c r="D563" s="15"/>
      <c r="E563" s="15"/>
      <c r="F563" s="49"/>
      <c r="J563" s="15"/>
      <c r="L563" s="15"/>
    </row>
    <row r="564" spans="2:12" ht="15.75" customHeight="1">
      <c r="B564" s="15"/>
      <c r="C564" s="15"/>
      <c r="D564" s="15"/>
      <c r="E564" s="15"/>
      <c r="F564" s="49"/>
      <c r="J564" s="15"/>
      <c r="L564" s="15"/>
    </row>
    <row r="565" spans="2:12" ht="15.75" customHeight="1">
      <c r="B565" s="15"/>
      <c r="C565" s="15"/>
      <c r="D565" s="15"/>
      <c r="E565" s="15"/>
      <c r="F565" s="49"/>
      <c r="J565" s="15"/>
      <c r="L565" s="15"/>
    </row>
    <row r="566" spans="2:12" ht="15.75" customHeight="1">
      <c r="B566" s="15"/>
      <c r="C566" s="15"/>
      <c r="D566" s="15"/>
      <c r="E566" s="15"/>
      <c r="F566" s="49"/>
      <c r="J566" s="15"/>
      <c r="L566" s="15"/>
    </row>
    <row r="567" spans="2:12" ht="15.75" customHeight="1">
      <c r="B567" s="15"/>
      <c r="C567" s="15"/>
      <c r="D567" s="15"/>
      <c r="E567" s="15"/>
      <c r="F567" s="49"/>
      <c r="J567" s="15"/>
      <c r="L567" s="15"/>
    </row>
    <row r="568" spans="2:12" ht="15.75" customHeight="1">
      <c r="B568" s="15"/>
      <c r="C568" s="15"/>
      <c r="D568" s="15"/>
      <c r="E568" s="15"/>
      <c r="F568" s="49"/>
      <c r="J568" s="15"/>
      <c r="L568" s="15"/>
    </row>
    <row r="569" spans="2:12" ht="15.75" customHeight="1">
      <c r="B569" s="15"/>
      <c r="C569" s="15"/>
      <c r="D569" s="15"/>
      <c r="E569" s="15"/>
      <c r="F569" s="49"/>
      <c r="J569" s="15"/>
      <c r="L569" s="15"/>
    </row>
    <row r="570" spans="2:12" ht="15.75" customHeight="1">
      <c r="B570" s="15"/>
      <c r="C570" s="15"/>
      <c r="D570" s="15"/>
      <c r="E570" s="15"/>
      <c r="F570" s="49"/>
      <c r="J570" s="15"/>
      <c r="L570" s="15"/>
    </row>
    <row r="571" spans="2:12" ht="15.75" customHeight="1">
      <c r="B571" s="15"/>
      <c r="C571" s="15"/>
      <c r="D571" s="15"/>
      <c r="E571" s="15"/>
      <c r="F571" s="49"/>
      <c r="J571" s="15"/>
      <c r="L571" s="15"/>
    </row>
    <row r="572" spans="2:12" ht="15.75" customHeight="1">
      <c r="B572" s="15"/>
      <c r="C572" s="15"/>
      <c r="D572" s="15"/>
      <c r="E572" s="15"/>
      <c r="F572" s="49"/>
      <c r="J572" s="15"/>
      <c r="L572" s="15"/>
    </row>
    <row r="573" spans="2:12" ht="15.75" customHeight="1">
      <c r="B573" s="15"/>
      <c r="C573" s="15"/>
      <c r="D573" s="15"/>
      <c r="E573" s="15"/>
      <c r="F573" s="49"/>
      <c r="J573" s="15"/>
      <c r="L573" s="15"/>
    </row>
    <row r="574" spans="2:12" ht="15.75" customHeight="1">
      <c r="B574" s="15"/>
      <c r="C574" s="15"/>
      <c r="D574" s="15"/>
      <c r="E574" s="15"/>
      <c r="F574" s="49"/>
      <c r="J574" s="15"/>
      <c r="L574" s="15"/>
    </row>
    <row r="575" spans="2:12" ht="15.75" customHeight="1">
      <c r="B575" s="15"/>
      <c r="C575" s="15"/>
      <c r="D575" s="15"/>
      <c r="E575" s="15"/>
      <c r="F575" s="49"/>
      <c r="J575" s="15"/>
      <c r="L575" s="15"/>
    </row>
    <row r="576" spans="2:12" ht="15.75" customHeight="1">
      <c r="B576" s="15"/>
      <c r="C576" s="15"/>
      <c r="D576" s="15"/>
      <c r="E576" s="15"/>
      <c r="F576" s="49"/>
      <c r="J576" s="15"/>
      <c r="L576" s="15"/>
    </row>
    <row r="577" spans="2:12" ht="15.75" customHeight="1">
      <c r="B577" s="15"/>
      <c r="C577" s="15"/>
      <c r="D577" s="15"/>
      <c r="E577" s="15"/>
      <c r="F577" s="49"/>
      <c r="J577" s="15"/>
      <c r="L577" s="15"/>
    </row>
    <row r="578" spans="2:12" ht="15.75" customHeight="1">
      <c r="B578" s="15"/>
      <c r="C578" s="15"/>
      <c r="D578" s="15"/>
      <c r="E578" s="15"/>
      <c r="F578" s="49"/>
      <c r="J578" s="15"/>
      <c r="L578" s="15"/>
    </row>
    <row r="579" spans="2:12" ht="15.75" customHeight="1">
      <c r="B579" s="15"/>
      <c r="C579" s="15"/>
      <c r="D579" s="15"/>
      <c r="E579" s="15"/>
      <c r="F579" s="49"/>
      <c r="J579" s="15"/>
      <c r="L579" s="15"/>
    </row>
    <row r="580" spans="2:12" ht="15.75" customHeight="1">
      <c r="B580" s="15"/>
      <c r="C580" s="15"/>
      <c r="D580" s="15"/>
      <c r="E580" s="15"/>
      <c r="F580" s="49"/>
      <c r="J580" s="15"/>
      <c r="L580" s="15"/>
    </row>
    <row r="581" spans="2:12" ht="15.75" customHeight="1">
      <c r="B581" s="15"/>
      <c r="C581" s="15"/>
      <c r="D581" s="15"/>
      <c r="E581" s="15"/>
      <c r="F581" s="49"/>
      <c r="J581" s="15"/>
      <c r="L581" s="15"/>
    </row>
    <row r="582" spans="2:12" ht="15.75" customHeight="1">
      <c r="B582" s="15"/>
      <c r="C582" s="15"/>
      <c r="D582" s="15"/>
      <c r="E582" s="15"/>
      <c r="F582" s="49"/>
      <c r="J582" s="15"/>
      <c r="L582" s="15"/>
    </row>
    <row r="583" spans="2:12" ht="15.75" customHeight="1">
      <c r="B583" s="15"/>
      <c r="C583" s="15"/>
      <c r="D583" s="15"/>
      <c r="E583" s="15"/>
      <c r="F583" s="49"/>
      <c r="J583" s="15"/>
      <c r="L583" s="15"/>
    </row>
    <row r="584" spans="2:12" ht="15.75" customHeight="1">
      <c r="B584" s="15"/>
      <c r="C584" s="15"/>
      <c r="D584" s="15"/>
      <c r="E584" s="15"/>
      <c r="F584" s="49"/>
      <c r="J584" s="15"/>
      <c r="L584" s="15"/>
    </row>
    <row r="585" spans="2:12" ht="15.75" customHeight="1">
      <c r="B585" s="15"/>
      <c r="C585" s="15"/>
      <c r="D585" s="15"/>
      <c r="E585" s="15"/>
      <c r="F585" s="49"/>
      <c r="J585" s="15"/>
      <c r="L585" s="15"/>
    </row>
    <row r="586" spans="2:12" ht="15.75" customHeight="1">
      <c r="B586" s="15"/>
      <c r="C586" s="15"/>
      <c r="D586" s="15"/>
      <c r="E586" s="15"/>
      <c r="F586" s="49"/>
      <c r="J586" s="15"/>
      <c r="L586" s="15"/>
    </row>
    <row r="587" spans="2:12" ht="15.75" customHeight="1">
      <c r="B587" s="15"/>
      <c r="C587" s="15"/>
      <c r="D587" s="15"/>
      <c r="E587" s="15"/>
      <c r="F587" s="49"/>
      <c r="J587" s="15"/>
      <c r="L587" s="15"/>
    </row>
    <row r="588" spans="2:12" ht="15.75" customHeight="1">
      <c r="B588" s="15"/>
      <c r="C588" s="15"/>
      <c r="D588" s="15"/>
      <c r="E588" s="15"/>
      <c r="F588" s="49"/>
      <c r="J588" s="15"/>
      <c r="L588" s="15"/>
    </row>
    <row r="589" spans="2:12" ht="15.75" customHeight="1">
      <c r="B589" s="15"/>
      <c r="C589" s="15"/>
      <c r="D589" s="15"/>
      <c r="E589" s="15"/>
      <c r="F589" s="49"/>
      <c r="J589" s="15"/>
      <c r="L589" s="15"/>
    </row>
    <row r="590" spans="2:12" ht="15.75" customHeight="1">
      <c r="B590" s="15"/>
      <c r="C590" s="15"/>
      <c r="D590" s="15"/>
      <c r="E590" s="15"/>
      <c r="F590" s="49"/>
      <c r="J590" s="15"/>
      <c r="L590" s="15"/>
    </row>
    <row r="591" spans="2:12" ht="15.75" customHeight="1">
      <c r="B591" s="15"/>
      <c r="C591" s="15"/>
      <c r="D591" s="15"/>
      <c r="E591" s="15"/>
      <c r="F591" s="49"/>
      <c r="J591" s="15"/>
      <c r="L591" s="15"/>
    </row>
    <row r="592" spans="2:12" ht="15.75" customHeight="1">
      <c r="B592" s="15"/>
      <c r="C592" s="15"/>
      <c r="D592" s="15"/>
      <c r="E592" s="15"/>
      <c r="F592" s="49"/>
      <c r="J592" s="15"/>
      <c r="L592" s="15"/>
    </row>
    <row r="593" spans="2:12" ht="15.75" customHeight="1">
      <c r="B593" s="15"/>
      <c r="C593" s="15"/>
      <c r="D593" s="15"/>
      <c r="E593" s="15"/>
      <c r="F593" s="49"/>
      <c r="J593" s="15"/>
      <c r="L593" s="15"/>
    </row>
    <row r="594" spans="2:12" ht="15.75" customHeight="1">
      <c r="B594" s="15"/>
      <c r="C594" s="15"/>
      <c r="D594" s="15"/>
      <c r="E594" s="15"/>
      <c r="F594" s="49"/>
      <c r="J594" s="15"/>
      <c r="L594" s="15"/>
    </row>
    <row r="595" spans="2:12" ht="15.75" customHeight="1">
      <c r="B595" s="15"/>
      <c r="C595" s="15"/>
      <c r="D595" s="15"/>
      <c r="E595" s="15"/>
      <c r="F595" s="49"/>
      <c r="J595" s="15"/>
      <c r="L595" s="15"/>
    </row>
    <row r="596" spans="2:12" ht="15.75" customHeight="1">
      <c r="B596" s="15"/>
      <c r="C596" s="15"/>
      <c r="D596" s="15"/>
      <c r="E596" s="15"/>
      <c r="F596" s="49"/>
      <c r="J596" s="15"/>
      <c r="L596" s="15"/>
    </row>
    <row r="597" spans="2:12" ht="15.75" customHeight="1">
      <c r="B597" s="15"/>
      <c r="C597" s="15"/>
      <c r="D597" s="15"/>
      <c r="E597" s="15"/>
      <c r="F597" s="49"/>
      <c r="J597" s="15"/>
      <c r="L597" s="15"/>
    </row>
    <row r="598" spans="2:12" ht="15.75" customHeight="1">
      <c r="B598" s="15"/>
      <c r="C598" s="15"/>
      <c r="D598" s="15"/>
      <c r="E598" s="15"/>
      <c r="F598" s="49"/>
      <c r="J598" s="15"/>
      <c r="L598" s="15"/>
    </row>
    <row r="599" spans="2:12" ht="15.75" customHeight="1">
      <c r="B599" s="15"/>
      <c r="C599" s="15"/>
      <c r="D599" s="15"/>
      <c r="E599" s="15"/>
      <c r="F599" s="49"/>
      <c r="J599" s="15"/>
      <c r="L599" s="15"/>
    </row>
    <row r="600" spans="2:12" ht="15.75" customHeight="1">
      <c r="B600" s="15"/>
      <c r="C600" s="15"/>
      <c r="D600" s="15"/>
      <c r="E600" s="15"/>
      <c r="F600" s="49"/>
      <c r="J600" s="15"/>
      <c r="L600" s="15"/>
    </row>
    <row r="601" spans="2:12" ht="15.75" customHeight="1">
      <c r="B601" s="15"/>
      <c r="C601" s="15"/>
      <c r="D601" s="15"/>
      <c r="E601" s="15"/>
      <c r="F601" s="49"/>
      <c r="J601" s="15"/>
      <c r="L601" s="15"/>
    </row>
    <row r="602" spans="2:12" ht="15.75" customHeight="1">
      <c r="B602" s="15"/>
      <c r="C602" s="15"/>
      <c r="D602" s="15"/>
      <c r="E602" s="15"/>
      <c r="F602" s="49"/>
      <c r="J602" s="15"/>
      <c r="L602" s="15"/>
    </row>
    <row r="603" spans="2:12" ht="15.75" customHeight="1">
      <c r="B603" s="15"/>
      <c r="C603" s="15"/>
      <c r="D603" s="15"/>
      <c r="E603" s="15"/>
      <c r="F603" s="49"/>
      <c r="J603" s="15"/>
      <c r="L603" s="15"/>
    </row>
    <row r="604" spans="2:12" ht="15.75" customHeight="1">
      <c r="B604" s="15"/>
      <c r="C604" s="15"/>
      <c r="D604" s="15"/>
      <c r="E604" s="15"/>
      <c r="F604" s="49"/>
      <c r="J604" s="15"/>
      <c r="L604" s="15"/>
    </row>
    <row r="605" spans="2:12" ht="15.75" customHeight="1">
      <c r="B605" s="15"/>
      <c r="C605" s="15"/>
      <c r="D605" s="15"/>
      <c r="E605" s="15"/>
      <c r="F605" s="49"/>
      <c r="J605" s="15"/>
      <c r="L605" s="15"/>
    </row>
    <row r="606" spans="2:12" ht="15.75" customHeight="1">
      <c r="B606" s="15"/>
      <c r="C606" s="15"/>
      <c r="D606" s="15"/>
      <c r="E606" s="15"/>
      <c r="F606" s="49"/>
      <c r="J606" s="15"/>
      <c r="L606" s="15"/>
    </row>
    <row r="607" spans="2:12" ht="15.75" customHeight="1">
      <c r="B607" s="15"/>
      <c r="C607" s="15"/>
      <c r="D607" s="15"/>
      <c r="E607" s="15"/>
      <c r="F607" s="49"/>
      <c r="J607" s="15"/>
      <c r="L607" s="15"/>
    </row>
    <row r="608" spans="2:12" ht="15.75" customHeight="1">
      <c r="B608" s="15"/>
      <c r="C608" s="15"/>
      <c r="D608" s="15"/>
      <c r="E608" s="15"/>
      <c r="F608" s="49"/>
      <c r="J608" s="15"/>
      <c r="L608" s="15"/>
    </row>
    <row r="609" spans="2:12" ht="15.75" customHeight="1">
      <c r="B609" s="15"/>
      <c r="C609" s="15"/>
      <c r="D609" s="15"/>
      <c r="E609" s="15"/>
      <c r="F609" s="49"/>
      <c r="J609" s="15"/>
      <c r="L609" s="15"/>
    </row>
    <row r="610" spans="2:12" ht="15.75" customHeight="1">
      <c r="B610" s="15"/>
      <c r="C610" s="15"/>
      <c r="D610" s="15"/>
      <c r="E610" s="15"/>
      <c r="F610" s="49"/>
      <c r="J610" s="15"/>
      <c r="L610" s="15"/>
    </row>
    <row r="611" spans="2:12" ht="15.75" customHeight="1">
      <c r="B611" s="15"/>
      <c r="C611" s="15"/>
      <c r="D611" s="15"/>
      <c r="E611" s="15"/>
      <c r="F611" s="49"/>
      <c r="J611" s="15"/>
      <c r="L611" s="15"/>
    </row>
    <row r="612" spans="2:12" ht="15.75" customHeight="1">
      <c r="B612" s="15"/>
      <c r="C612" s="15"/>
      <c r="D612" s="15"/>
      <c r="E612" s="15"/>
      <c r="F612" s="49"/>
      <c r="J612" s="15"/>
      <c r="L612" s="15"/>
    </row>
    <row r="613" spans="2:12" ht="15.75" customHeight="1">
      <c r="B613" s="15"/>
      <c r="C613" s="15"/>
      <c r="D613" s="15"/>
      <c r="E613" s="15"/>
      <c r="F613" s="49"/>
      <c r="J613" s="15"/>
      <c r="L613" s="15"/>
    </row>
    <row r="614" spans="2:12" ht="15.75" customHeight="1">
      <c r="B614" s="15"/>
      <c r="C614" s="15"/>
      <c r="D614" s="15"/>
      <c r="E614" s="15"/>
      <c r="F614" s="49"/>
      <c r="J614" s="15"/>
      <c r="L614" s="15"/>
    </row>
    <row r="615" spans="2:12" ht="15.75" customHeight="1">
      <c r="B615" s="15"/>
      <c r="C615" s="15"/>
      <c r="D615" s="15"/>
      <c r="E615" s="15"/>
      <c r="F615" s="49"/>
      <c r="J615" s="15"/>
      <c r="L615" s="15"/>
    </row>
    <row r="616" spans="2:12" ht="15.75" customHeight="1">
      <c r="B616" s="15"/>
      <c r="C616" s="15"/>
      <c r="D616" s="15"/>
      <c r="E616" s="15"/>
      <c r="F616" s="49"/>
      <c r="J616" s="15"/>
      <c r="L616" s="15"/>
    </row>
    <row r="617" spans="2:12" ht="15.75" customHeight="1">
      <c r="B617" s="15"/>
      <c r="C617" s="15"/>
      <c r="D617" s="15"/>
      <c r="E617" s="15"/>
      <c r="F617" s="49"/>
      <c r="J617" s="15"/>
      <c r="L617" s="15"/>
    </row>
    <row r="618" spans="2:12" ht="15.75" customHeight="1">
      <c r="B618" s="15"/>
      <c r="C618" s="15"/>
      <c r="D618" s="15"/>
      <c r="E618" s="15"/>
      <c r="F618" s="49"/>
      <c r="J618" s="15"/>
      <c r="L618" s="15"/>
    </row>
    <row r="619" spans="2:12" ht="15.75" customHeight="1">
      <c r="B619" s="15"/>
      <c r="C619" s="15"/>
      <c r="D619" s="15"/>
      <c r="E619" s="15"/>
      <c r="F619" s="49"/>
      <c r="J619" s="15"/>
      <c r="L619" s="15"/>
    </row>
    <row r="620" spans="2:12" ht="15.75" customHeight="1">
      <c r="B620" s="15"/>
      <c r="C620" s="15"/>
      <c r="D620" s="15"/>
      <c r="E620" s="15"/>
      <c r="F620" s="49"/>
      <c r="J620" s="15"/>
      <c r="L620" s="15"/>
    </row>
    <row r="621" spans="2:12" ht="15.75" customHeight="1">
      <c r="B621" s="15"/>
      <c r="C621" s="15"/>
      <c r="D621" s="15"/>
      <c r="E621" s="15"/>
      <c r="F621" s="49"/>
      <c r="J621" s="15"/>
      <c r="L621" s="15"/>
    </row>
    <row r="622" spans="2:12" ht="15.75" customHeight="1">
      <c r="B622" s="15"/>
      <c r="C622" s="15"/>
      <c r="D622" s="15"/>
      <c r="E622" s="15"/>
      <c r="F622" s="49"/>
      <c r="J622" s="15"/>
      <c r="L622" s="15"/>
    </row>
    <row r="623" spans="2:12" ht="15.75" customHeight="1">
      <c r="B623" s="15"/>
      <c r="C623" s="15"/>
      <c r="D623" s="15"/>
      <c r="E623" s="15"/>
      <c r="F623" s="49"/>
      <c r="J623" s="15"/>
      <c r="L623" s="15"/>
    </row>
    <row r="624" spans="2:12" ht="15.75" customHeight="1">
      <c r="B624" s="15"/>
      <c r="C624" s="15"/>
      <c r="D624" s="15"/>
      <c r="E624" s="15"/>
      <c r="F624" s="49"/>
      <c r="J624" s="15"/>
      <c r="L624" s="15"/>
    </row>
    <row r="625" spans="2:12" ht="15.75" customHeight="1">
      <c r="B625" s="15"/>
      <c r="C625" s="15"/>
      <c r="D625" s="15"/>
      <c r="E625" s="15"/>
      <c r="F625" s="49"/>
      <c r="J625" s="15"/>
      <c r="L625" s="15"/>
    </row>
    <row r="626" spans="2:12" ht="15.75" customHeight="1">
      <c r="B626" s="15"/>
      <c r="C626" s="15"/>
      <c r="D626" s="15"/>
      <c r="E626" s="15"/>
      <c r="F626" s="49"/>
      <c r="J626" s="15"/>
      <c r="L626" s="15"/>
    </row>
    <row r="627" spans="2:12" ht="15.75" customHeight="1">
      <c r="B627" s="15"/>
      <c r="C627" s="15"/>
      <c r="D627" s="15"/>
      <c r="E627" s="15"/>
      <c r="F627" s="49"/>
      <c r="J627" s="15"/>
      <c r="L627" s="15"/>
    </row>
    <row r="628" spans="2:12" ht="15.75" customHeight="1">
      <c r="B628" s="15"/>
      <c r="C628" s="15"/>
      <c r="D628" s="15"/>
      <c r="E628" s="15"/>
      <c r="F628" s="49"/>
      <c r="J628" s="15"/>
      <c r="L628" s="15"/>
    </row>
    <row r="629" spans="2:12" ht="15.75" customHeight="1">
      <c r="B629" s="15"/>
      <c r="C629" s="15"/>
      <c r="D629" s="15"/>
      <c r="E629" s="15"/>
      <c r="F629" s="49"/>
      <c r="J629" s="15"/>
      <c r="L629" s="15"/>
    </row>
    <row r="630" spans="2:12" ht="15.75" customHeight="1">
      <c r="B630" s="15"/>
      <c r="C630" s="15"/>
      <c r="D630" s="15"/>
      <c r="E630" s="15"/>
      <c r="F630" s="49"/>
      <c r="J630" s="15"/>
      <c r="L630" s="15"/>
    </row>
    <row r="631" spans="2:12" ht="15.75" customHeight="1">
      <c r="B631" s="15"/>
      <c r="C631" s="15"/>
      <c r="D631" s="15"/>
      <c r="E631" s="15"/>
      <c r="F631" s="49"/>
      <c r="J631" s="15"/>
      <c r="L631" s="15"/>
    </row>
    <row r="632" spans="2:12" ht="15.75" customHeight="1">
      <c r="B632" s="15"/>
      <c r="C632" s="15"/>
      <c r="D632" s="15"/>
      <c r="E632" s="15"/>
      <c r="F632" s="49"/>
      <c r="J632" s="15"/>
      <c r="L632" s="15"/>
    </row>
    <row r="633" spans="2:12" ht="15.75" customHeight="1">
      <c r="B633" s="15"/>
      <c r="C633" s="15"/>
      <c r="D633" s="15"/>
      <c r="E633" s="15"/>
      <c r="F633" s="49"/>
      <c r="J633" s="15"/>
      <c r="L633" s="15"/>
    </row>
    <row r="634" spans="2:12" ht="15.75" customHeight="1">
      <c r="B634" s="15"/>
      <c r="C634" s="15"/>
      <c r="D634" s="15"/>
      <c r="E634" s="15"/>
      <c r="F634" s="49"/>
      <c r="J634" s="15"/>
      <c r="L634" s="15"/>
    </row>
    <row r="635" spans="2:12" ht="15.75" customHeight="1">
      <c r="B635" s="15"/>
      <c r="C635" s="15"/>
      <c r="D635" s="15"/>
      <c r="E635" s="15"/>
      <c r="F635" s="49"/>
      <c r="J635" s="15"/>
      <c r="L635" s="15"/>
    </row>
    <row r="636" spans="2:12" ht="15.75" customHeight="1">
      <c r="B636" s="15"/>
      <c r="C636" s="15"/>
      <c r="D636" s="15"/>
      <c r="E636" s="15"/>
      <c r="F636" s="49"/>
      <c r="J636" s="15"/>
      <c r="L636" s="15"/>
    </row>
    <row r="637" spans="2:12" ht="15.75" customHeight="1">
      <c r="B637" s="15"/>
      <c r="C637" s="15"/>
      <c r="D637" s="15"/>
      <c r="E637" s="15"/>
      <c r="F637" s="49"/>
      <c r="J637" s="15"/>
      <c r="L637" s="15"/>
    </row>
    <row r="638" spans="2:12" ht="15.75" customHeight="1">
      <c r="B638" s="15"/>
      <c r="C638" s="15"/>
      <c r="D638" s="15"/>
      <c r="E638" s="15"/>
      <c r="F638" s="49"/>
      <c r="J638" s="15"/>
      <c r="L638" s="15"/>
    </row>
    <row r="639" spans="2:12" ht="15.75" customHeight="1">
      <c r="B639" s="15"/>
      <c r="C639" s="15"/>
      <c r="D639" s="15"/>
      <c r="E639" s="15"/>
      <c r="F639" s="49"/>
      <c r="J639" s="15"/>
      <c r="L639" s="15"/>
    </row>
    <row r="640" spans="2:12" ht="15.75" customHeight="1">
      <c r="B640" s="15"/>
      <c r="C640" s="15"/>
      <c r="D640" s="15"/>
      <c r="E640" s="15"/>
      <c r="F640" s="49"/>
      <c r="J640" s="15"/>
      <c r="L640" s="15"/>
    </row>
    <row r="641" spans="2:12" ht="15.75" customHeight="1">
      <c r="B641" s="15"/>
      <c r="C641" s="15"/>
      <c r="D641" s="15"/>
      <c r="E641" s="15"/>
      <c r="F641" s="49"/>
      <c r="J641" s="15"/>
      <c r="L641" s="15"/>
    </row>
    <row r="642" spans="2:12" ht="15.75" customHeight="1">
      <c r="B642" s="15"/>
      <c r="C642" s="15"/>
      <c r="D642" s="15"/>
      <c r="E642" s="15"/>
      <c r="F642" s="49"/>
      <c r="J642" s="15"/>
      <c r="L642" s="15"/>
    </row>
    <row r="643" spans="2:12" ht="15.75" customHeight="1">
      <c r="B643" s="15"/>
      <c r="C643" s="15"/>
      <c r="D643" s="15"/>
      <c r="E643" s="15"/>
      <c r="F643" s="49"/>
      <c r="J643" s="15"/>
      <c r="L643" s="15"/>
    </row>
    <row r="644" spans="2:12" ht="15.75" customHeight="1">
      <c r="B644" s="15"/>
      <c r="C644" s="15"/>
      <c r="D644" s="15"/>
      <c r="E644" s="15"/>
      <c r="F644" s="49"/>
      <c r="J644" s="15"/>
      <c r="L644" s="15"/>
    </row>
    <row r="645" spans="2:12" ht="15.75" customHeight="1">
      <c r="B645" s="15"/>
      <c r="C645" s="15"/>
      <c r="D645" s="15"/>
      <c r="E645" s="15"/>
      <c r="F645" s="49"/>
      <c r="J645" s="15"/>
      <c r="L645" s="15"/>
    </row>
    <row r="646" spans="2:12" ht="15.75" customHeight="1">
      <c r="B646" s="15"/>
      <c r="C646" s="15"/>
      <c r="D646" s="15"/>
      <c r="E646" s="15"/>
      <c r="F646" s="49"/>
      <c r="J646" s="15"/>
      <c r="L646" s="15"/>
    </row>
    <row r="647" spans="2:12" ht="15.75" customHeight="1">
      <c r="B647" s="15"/>
      <c r="C647" s="15"/>
      <c r="D647" s="15"/>
      <c r="E647" s="15"/>
      <c r="F647" s="49"/>
      <c r="J647" s="15"/>
      <c r="L647" s="15"/>
    </row>
    <row r="648" spans="2:12" ht="15.75" customHeight="1">
      <c r="B648" s="15"/>
      <c r="C648" s="15"/>
      <c r="D648" s="15"/>
      <c r="E648" s="15"/>
      <c r="F648" s="49"/>
      <c r="J648" s="15"/>
      <c r="L648" s="15"/>
    </row>
    <row r="649" spans="2:12" ht="15.75" customHeight="1">
      <c r="B649" s="15"/>
      <c r="C649" s="15"/>
      <c r="D649" s="15"/>
      <c r="E649" s="15"/>
      <c r="F649" s="49"/>
      <c r="J649" s="15"/>
      <c r="L649" s="15"/>
    </row>
    <row r="650" spans="2:12" ht="15.75" customHeight="1">
      <c r="B650" s="15"/>
      <c r="C650" s="15"/>
      <c r="D650" s="15"/>
      <c r="E650" s="15"/>
      <c r="F650" s="49"/>
      <c r="J650" s="15"/>
      <c r="L650" s="15"/>
    </row>
    <row r="651" spans="2:12" ht="15.75" customHeight="1">
      <c r="B651" s="15"/>
      <c r="C651" s="15"/>
      <c r="D651" s="15"/>
      <c r="E651" s="15"/>
      <c r="F651" s="49"/>
      <c r="J651" s="15"/>
      <c r="L651" s="15"/>
    </row>
    <row r="652" spans="2:12" ht="15.75" customHeight="1">
      <c r="B652" s="15"/>
      <c r="C652" s="15"/>
      <c r="D652" s="15"/>
      <c r="E652" s="15"/>
      <c r="F652" s="49"/>
      <c r="J652" s="15"/>
      <c r="L652" s="15"/>
    </row>
    <row r="653" spans="2:12" ht="15.75" customHeight="1">
      <c r="B653" s="15"/>
      <c r="C653" s="15"/>
      <c r="D653" s="15"/>
      <c r="E653" s="15"/>
      <c r="F653" s="49"/>
      <c r="J653" s="15"/>
      <c r="L653" s="15"/>
    </row>
    <row r="654" spans="2:12" ht="15.75" customHeight="1">
      <c r="B654" s="15"/>
      <c r="C654" s="15"/>
      <c r="D654" s="15"/>
      <c r="E654" s="15"/>
      <c r="F654" s="49"/>
      <c r="J654" s="15"/>
      <c r="L654" s="15"/>
    </row>
    <row r="655" spans="2:12" ht="15.75" customHeight="1">
      <c r="B655" s="15"/>
      <c r="C655" s="15"/>
      <c r="D655" s="15"/>
      <c r="E655" s="15"/>
      <c r="F655" s="49"/>
      <c r="J655" s="15"/>
      <c r="L655" s="15"/>
    </row>
    <row r="656" spans="2:12" ht="15.75" customHeight="1">
      <c r="B656" s="15"/>
      <c r="C656" s="15"/>
      <c r="D656" s="15"/>
      <c r="E656" s="15"/>
      <c r="F656" s="49"/>
      <c r="J656" s="15"/>
      <c r="L656" s="15"/>
    </row>
    <row r="657" spans="2:12" ht="15.75" customHeight="1">
      <c r="B657" s="15"/>
      <c r="C657" s="15"/>
      <c r="D657" s="15"/>
      <c r="E657" s="15"/>
      <c r="F657" s="49"/>
      <c r="J657" s="15"/>
      <c r="L657" s="15"/>
    </row>
    <row r="658" spans="2:12" ht="15.75" customHeight="1">
      <c r="B658" s="15"/>
      <c r="C658" s="15"/>
      <c r="D658" s="15"/>
      <c r="E658" s="15"/>
      <c r="F658" s="49"/>
      <c r="J658" s="15"/>
      <c r="L658" s="15"/>
    </row>
    <row r="659" spans="2:12" ht="15.75" customHeight="1">
      <c r="B659" s="15"/>
      <c r="C659" s="15"/>
      <c r="D659" s="15"/>
      <c r="E659" s="15"/>
      <c r="F659" s="49"/>
      <c r="J659" s="15"/>
      <c r="L659" s="15"/>
    </row>
    <row r="660" spans="2:12" ht="15.75" customHeight="1">
      <c r="B660" s="15"/>
      <c r="C660" s="15"/>
      <c r="D660" s="15"/>
      <c r="E660" s="15"/>
      <c r="F660" s="49"/>
      <c r="J660" s="15"/>
      <c r="L660" s="15"/>
    </row>
    <row r="661" spans="2:12" ht="15.75" customHeight="1">
      <c r="B661" s="15"/>
      <c r="C661" s="15"/>
      <c r="D661" s="15"/>
      <c r="E661" s="15"/>
      <c r="F661" s="49"/>
      <c r="J661" s="15"/>
      <c r="L661" s="15"/>
    </row>
    <row r="662" spans="2:12" ht="15.75" customHeight="1">
      <c r="B662" s="15"/>
      <c r="C662" s="15"/>
      <c r="D662" s="15"/>
      <c r="E662" s="15"/>
      <c r="F662" s="49"/>
      <c r="J662" s="15"/>
      <c r="L662" s="15"/>
    </row>
    <row r="663" spans="2:12" ht="15.75" customHeight="1">
      <c r="B663" s="15"/>
      <c r="C663" s="15"/>
      <c r="D663" s="15"/>
      <c r="E663" s="15"/>
      <c r="F663" s="49"/>
      <c r="J663" s="15"/>
      <c r="L663" s="15"/>
    </row>
    <row r="664" spans="2:12" ht="15.75" customHeight="1">
      <c r="B664" s="15"/>
      <c r="C664" s="15"/>
      <c r="D664" s="15"/>
      <c r="E664" s="15"/>
      <c r="F664" s="49"/>
      <c r="J664" s="15"/>
      <c r="L664" s="15"/>
    </row>
    <row r="665" spans="2:12" ht="15.75" customHeight="1">
      <c r="B665" s="15"/>
      <c r="C665" s="15"/>
      <c r="D665" s="15"/>
      <c r="E665" s="15"/>
      <c r="F665" s="49"/>
      <c r="J665" s="15"/>
      <c r="L665" s="15"/>
    </row>
    <row r="666" spans="2:12" ht="15.75" customHeight="1">
      <c r="B666" s="15"/>
      <c r="C666" s="15"/>
      <c r="D666" s="15"/>
      <c r="E666" s="15"/>
      <c r="F666" s="49"/>
      <c r="J666" s="15"/>
      <c r="L666" s="15"/>
    </row>
    <row r="667" spans="2:12" ht="15.75" customHeight="1">
      <c r="B667" s="15"/>
      <c r="C667" s="15"/>
      <c r="D667" s="15"/>
      <c r="E667" s="15"/>
      <c r="F667" s="49"/>
      <c r="J667" s="15"/>
      <c r="L667" s="15"/>
    </row>
    <row r="668" spans="2:12" ht="15.75" customHeight="1">
      <c r="B668" s="15"/>
      <c r="C668" s="15"/>
      <c r="D668" s="15"/>
      <c r="E668" s="15"/>
      <c r="F668" s="49"/>
      <c r="J668" s="15"/>
      <c r="L668" s="15"/>
    </row>
    <row r="669" spans="2:12" ht="15.75" customHeight="1">
      <c r="B669" s="15"/>
      <c r="C669" s="15"/>
      <c r="D669" s="15"/>
      <c r="E669" s="15"/>
      <c r="F669" s="49"/>
      <c r="J669" s="15"/>
      <c r="L669" s="15"/>
    </row>
    <row r="670" spans="2:12" ht="15.75" customHeight="1">
      <c r="B670" s="15"/>
      <c r="C670" s="15"/>
      <c r="D670" s="15"/>
      <c r="E670" s="15"/>
      <c r="F670" s="49"/>
      <c r="J670" s="15"/>
      <c r="L670" s="15"/>
    </row>
    <row r="671" spans="2:12" ht="15.75" customHeight="1">
      <c r="B671" s="15"/>
      <c r="C671" s="15"/>
      <c r="D671" s="15"/>
      <c r="E671" s="15"/>
      <c r="F671" s="49"/>
      <c r="J671" s="15"/>
      <c r="L671" s="15"/>
    </row>
    <row r="672" spans="2:12" ht="15.75" customHeight="1">
      <c r="B672" s="15"/>
      <c r="C672" s="15"/>
      <c r="D672" s="15"/>
      <c r="E672" s="15"/>
      <c r="F672" s="49"/>
      <c r="J672" s="15"/>
      <c r="L672" s="15"/>
    </row>
    <row r="673" spans="2:12" ht="15.75" customHeight="1">
      <c r="B673" s="15"/>
      <c r="C673" s="15"/>
      <c r="D673" s="15"/>
      <c r="E673" s="15"/>
      <c r="F673" s="49"/>
      <c r="J673" s="15"/>
      <c r="L673" s="15"/>
    </row>
    <row r="674" spans="2:12" ht="15.75" customHeight="1">
      <c r="B674" s="15"/>
      <c r="C674" s="15"/>
      <c r="D674" s="15"/>
      <c r="E674" s="15"/>
      <c r="F674" s="49"/>
      <c r="J674" s="15"/>
      <c r="L674" s="15"/>
    </row>
    <row r="675" spans="2:12" ht="15.75" customHeight="1">
      <c r="B675" s="15"/>
      <c r="C675" s="15"/>
      <c r="D675" s="15"/>
      <c r="E675" s="15"/>
      <c r="F675" s="49"/>
      <c r="J675" s="15"/>
      <c r="L675" s="15"/>
    </row>
    <row r="676" spans="2:12" ht="15.75" customHeight="1">
      <c r="B676" s="15"/>
      <c r="C676" s="15"/>
      <c r="D676" s="15"/>
      <c r="E676" s="15"/>
      <c r="F676" s="49"/>
      <c r="J676" s="15"/>
      <c r="L676" s="15"/>
    </row>
    <row r="677" spans="2:12" ht="15.75" customHeight="1">
      <c r="B677" s="15"/>
      <c r="C677" s="15"/>
      <c r="D677" s="15"/>
      <c r="E677" s="15"/>
      <c r="F677" s="49"/>
      <c r="J677" s="15"/>
      <c r="L677" s="15"/>
    </row>
    <row r="678" spans="2:12" ht="15.75" customHeight="1">
      <c r="B678" s="15"/>
      <c r="C678" s="15"/>
      <c r="D678" s="15"/>
      <c r="E678" s="15"/>
      <c r="F678" s="49"/>
      <c r="J678" s="15"/>
      <c r="L678" s="15"/>
    </row>
    <row r="679" spans="2:12" ht="15.75" customHeight="1">
      <c r="B679" s="15"/>
      <c r="C679" s="15"/>
      <c r="D679" s="15"/>
      <c r="E679" s="15"/>
      <c r="F679" s="49"/>
      <c r="J679" s="15"/>
      <c r="L679" s="15"/>
    </row>
    <row r="680" spans="2:12" ht="15.75" customHeight="1">
      <c r="B680" s="15"/>
      <c r="C680" s="15"/>
      <c r="D680" s="15"/>
      <c r="E680" s="15"/>
      <c r="F680" s="49"/>
      <c r="J680" s="15"/>
      <c r="L680" s="15"/>
    </row>
    <row r="681" spans="2:12" ht="15.75" customHeight="1">
      <c r="B681" s="15"/>
      <c r="C681" s="15"/>
      <c r="D681" s="15"/>
      <c r="E681" s="15"/>
      <c r="F681" s="49"/>
      <c r="J681" s="15"/>
      <c r="L681" s="15"/>
    </row>
    <row r="682" spans="2:12" ht="15.75" customHeight="1">
      <c r="B682" s="15"/>
      <c r="C682" s="15"/>
      <c r="D682" s="15"/>
      <c r="E682" s="15"/>
      <c r="F682" s="49"/>
      <c r="J682" s="15"/>
      <c r="L682" s="15"/>
    </row>
    <row r="683" spans="2:12" ht="15.75" customHeight="1">
      <c r="B683" s="15"/>
      <c r="C683" s="15"/>
      <c r="D683" s="15"/>
      <c r="E683" s="15"/>
      <c r="F683" s="49"/>
      <c r="J683" s="15"/>
      <c r="L683" s="15"/>
    </row>
    <row r="684" spans="2:12" ht="15.75" customHeight="1">
      <c r="B684" s="15"/>
      <c r="C684" s="15"/>
      <c r="D684" s="15"/>
      <c r="E684" s="15"/>
      <c r="F684" s="49"/>
      <c r="J684" s="15"/>
      <c r="L684" s="15"/>
    </row>
    <row r="685" spans="2:12" ht="15.75" customHeight="1">
      <c r="B685" s="15"/>
      <c r="C685" s="15"/>
      <c r="D685" s="15"/>
      <c r="E685" s="15"/>
      <c r="F685" s="49"/>
      <c r="J685" s="15"/>
      <c r="L685" s="15"/>
    </row>
    <row r="686" spans="2:12" ht="15.75" customHeight="1">
      <c r="B686" s="15"/>
      <c r="C686" s="15"/>
      <c r="D686" s="15"/>
      <c r="E686" s="15"/>
      <c r="F686" s="49"/>
      <c r="J686" s="15"/>
      <c r="L686" s="15"/>
    </row>
    <row r="687" spans="2:12" ht="15.75" customHeight="1">
      <c r="B687" s="15"/>
      <c r="C687" s="15"/>
      <c r="D687" s="15"/>
      <c r="E687" s="15"/>
      <c r="F687" s="49"/>
      <c r="J687" s="15"/>
      <c r="L687" s="15"/>
    </row>
    <row r="688" spans="2:12" ht="15.75" customHeight="1">
      <c r="B688" s="15"/>
      <c r="C688" s="15"/>
      <c r="D688" s="15"/>
      <c r="E688" s="15"/>
      <c r="F688" s="49"/>
      <c r="J688" s="15"/>
      <c r="L688" s="15"/>
    </row>
    <row r="689" spans="2:12" ht="15.75" customHeight="1">
      <c r="B689" s="15"/>
      <c r="C689" s="15"/>
      <c r="D689" s="15"/>
      <c r="E689" s="15"/>
      <c r="F689" s="49"/>
      <c r="J689" s="15"/>
      <c r="L689" s="15"/>
    </row>
    <row r="690" spans="2:12" ht="15.75" customHeight="1">
      <c r="B690" s="15"/>
      <c r="C690" s="15"/>
      <c r="D690" s="15"/>
      <c r="E690" s="15"/>
      <c r="F690" s="49"/>
      <c r="J690" s="15"/>
      <c r="L690" s="15"/>
    </row>
    <row r="691" spans="2:12" ht="15.75" customHeight="1">
      <c r="B691" s="15"/>
      <c r="C691" s="15"/>
      <c r="D691" s="15"/>
      <c r="E691" s="15"/>
      <c r="F691" s="49"/>
      <c r="J691" s="15"/>
      <c r="L691" s="15"/>
    </row>
    <row r="692" spans="2:12" ht="15.75" customHeight="1">
      <c r="B692" s="15"/>
      <c r="C692" s="15"/>
      <c r="D692" s="15"/>
      <c r="E692" s="15"/>
      <c r="F692" s="49"/>
      <c r="J692" s="15"/>
      <c r="L692" s="15"/>
    </row>
    <row r="693" spans="2:12" ht="15.75" customHeight="1">
      <c r="B693" s="15"/>
      <c r="C693" s="15"/>
      <c r="D693" s="15"/>
      <c r="E693" s="15"/>
      <c r="F693" s="49"/>
      <c r="J693" s="15"/>
      <c r="L693" s="15"/>
    </row>
    <row r="694" spans="2:12" ht="15.75" customHeight="1">
      <c r="B694" s="15"/>
      <c r="C694" s="15"/>
      <c r="D694" s="15"/>
      <c r="E694" s="15"/>
      <c r="F694" s="49"/>
      <c r="J694" s="15"/>
      <c r="L694" s="15"/>
    </row>
    <row r="695" spans="2:12" ht="15.75" customHeight="1">
      <c r="B695" s="15"/>
      <c r="C695" s="15"/>
      <c r="D695" s="15"/>
      <c r="E695" s="15"/>
      <c r="F695" s="49"/>
      <c r="J695" s="15"/>
      <c r="L695" s="15"/>
    </row>
    <row r="696" spans="2:12" ht="15.75" customHeight="1">
      <c r="B696" s="15"/>
      <c r="C696" s="15"/>
      <c r="D696" s="15"/>
      <c r="E696" s="15"/>
      <c r="F696" s="49"/>
      <c r="J696" s="15"/>
      <c r="L696" s="15"/>
    </row>
    <row r="697" spans="2:12" ht="15.75" customHeight="1">
      <c r="B697" s="15"/>
      <c r="C697" s="15"/>
      <c r="D697" s="15"/>
      <c r="E697" s="15"/>
      <c r="F697" s="49"/>
      <c r="J697" s="15"/>
      <c r="L697" s="15"/>
    </row>
    <row r="698" spans="2:12" ht="15.75" customHeight="1">
      <c r="B698" s="15"/>
      <c r="C698" s="15"/>
      <c r="D698" s="15"/>
      <c r="E698" s="15"/>
      <c r="F698" s="49"/>
      <c r="J698" s="15"/>
      <c r="L698" s="15"/>
    </row>
    <row r="699" spans="2:12" ht="15.75" customHeight="1">
      <c r="B699" s="15"/>
      <c r="C699" s="15"/>
      <c r="D699" s="15"/>
      <c r="E699" s="15"/>
      <c r="F699" s="49"/>
      <c r="J699" s="15"/>
      <c r="L699" s="15"/>
    </row>
    <row r="700" spans="2:12" ht="15.75" customHeight="1">
      <c r="B700" s="15"/>
      <c r="C700" s="15"/>
      <c r="D700" s="15"/>
      <c r="E700" s="15"/>
      <c r="F700" s="49"/>
      <c r="J700" s="15"/>
      <c r="L700" s="15"/>
    </row>
    <row r="701" spans="2:12" ht="15.75" customHeight="1">
      <c r="B701" s="15"/>
      <c r="C701" s="15"/>
      <c r="D701" s="15"/>
      <c r="E701" s="15"/>
      <c r="F701" s="49"/>
      <c r="J701" s="15"/>
      <c r="L701" s="15"/>
    </row>
    <row r="702" spans="2:12" ht="15.75" customHeight="1">
      <c r="B702" s="15"/>
      <c r="C702" s="15"/>
      <c r="D702" s="15"/>
      <c r="E702" s="15"/>
      <c r="F702" s="49"/>
      <c r="J702" s="15"/>
      <c r="L702" s="15"/>
    </row>
    <row r="703" spans="2:12" ht="15.75" customHeight="1">
      <c r="B703" s="15"/>
      <c r="C703" s="15"/>
      <c r="D703" s="15"/>
      <c r="E703" s="15"/>
      <c r="F703" s="49"/>
      <c r="J703" s="15"/>
      <c r="L703" s="15"/>
    </row>
    <row r="704" spans="2:12" ht="15.75" customHeight="1">
      <c r="B704" s="15"/>
      <c r="C704" s="15"/>
      <c r="D704" s="15"/>
      <c r="E704" s="15"/>
      <c r="F704" s="49"/>
      <c r="J704" s="15"/>
      <c r="L704" s="15"/>
    </row>
    <row r="705" spans="2:12" ht="15.75" customHeight="1">
      <c r="B705" s="15"/>
      <c r="C705" s="15"/>
      <c r="D705" s="15"/>
      <c r="E705" s="15"/>
      <c r="F705" s="49"/>
      <c r="J705" s="15"/>
      <c r="L705" s="15"/>
    </row>
    <row r="706" spans="2:12" ht="15.75" customHeight="1">
      <c r="B706" s="15"/>
      <c r="C706" s="15"/>
      <c r="D706" s="15"/>
      <c r="E706" s="15"/>
      <c r="F706" s="49"/>
      <c r="J706" s="15"/>
      <c r="L706" s="15"/>
    </row>
    <row r="707" spans="2:12" ht="15.75" customHeight="1">
      <c r="B707" s="15"/>
      <c r="C707" s="15"/>
      <c r="D707" s="15"/>
      <c r="E707" s="15"/>
      <c r="F707" s="49"/>
      <c r="J707" s="15"/>
      <c r="L707" s="15"/>
    </row>
    <row r="708" spans="2:12" ht="15.75" customHeight="1">
      <c r="B708" s="15"/>
      <c r="C708" s="15"/>
      <c r="D708" s="15"/>
      <c r="E708" s="15"/>
      <c r="F708" s="49"/>
      <c r="J708" s="15"/>
      <c r="L708" s="15"/>
    </row>
    <row r="709" spans="2:12" ht="15.75" customHeight="1">
      <c r="B709" s="15"/>
      <c r="C709" s="15"/>
      <c r="D709" s="15"/>
      <c r="E709" s="15"/>
      <c r="F709" s="49"/>
      <c r="J709" s="15"/>
      <c r="L709" s="15"/>
    </row>
    <row r="710" spans="2:12" ht="15.75" customHeight="1">
      <c r="B710" s="15"/>
      <c r="C710" s="15"/>
      <c r="D710" s="15"/>
      <c r="E710" s="15"/>
      <c r="F710" s="49"/>
      <c r="J710" s="15"/>
      <c r="L710" s="15"/>
    </row>
    <row r="711" spans="2:12" ht="15.75" customHeight="1">
      <c r="B711" s="15"/>
      <c r="C711" s="15"/>
      <c r="D711" s="15"/>
      <c r="E711" s="15"/>
      <c r="F711" s="49"/>
      <c r="J711" s="15"/>
      <c r="L711" s="15"/>
    </row>
    <row r="712" spans="2:12" ht="15.75" customHeight="1">
      <c r="B712" s="15"/>
      <c r="C712" s="15"/>
      <c r="D712" s="15"/>
      <c r="E712" s="15"/>
      <c r="F712" s="49"/>
      <c r="J712" s="15"/>
      <c r="L712" s="15"/>
    </row>
    <row r="713" spans="2:12" ht="15.75" customHeight="1">
      <c r="B713" s="15"/>
      <c r="C713" s="15"/>
      <c r="D713" s="15"/>
      <c r="E713" s="15"/>
      <c r="F713" s="49"/>
      <c r="J713" s="15"/>
      <c r="L713" s="15"/>
    </row>
    <row r="714" spans="2:12" ht="15.75" customHeight="1">
      <c r="B714" s="15"/>
      <c r="C714" s="15"/>
      <c r="D714" s="15"/>
      <c r="E714" s="15"/>
      <c r="F714" s="49"/>
      <c r="J714" s="15"/>
      <c r="L714" s="15"/>
    </row>
    <row r="715" spans="2:12" ht="15.75" customHeight="1">
      <c r="B715" s="15"/>
      <c r="C715" s="15"/>
      <c r="D715" s="15"/>
      <c r="E715" s="15"/>
      <c r="F715" s="49"/>
      <c r="J715" s="15"/>
      <c r="L715" s="15"/>
    </row>
    <row r="716" spans="2:12" ht="15.75" customHeight="1">
      <c r="B716" s="15"/>
      <c r="C716" s="15"/>
      <c r="D716" s="15"/>
      <c r="E716" s="15"/>
      <c r="F716" s="49"/>
      <c r="J716" s="15"/>
      <c r="L716" s="15"/>
    </row>
    <row r="717" spans="2:12" ht="15.75" customHeight="1">
      <c r="B717" s="15"/>
      <c r="C717" s="15"/>
      <c r="D717" s="15"/>
      <c r="E717" s="15"/>
      <c r="F717" s="49"/>
      <c r="J717" s="15"/>
      <c r="L717" s="15"/>
    </row>
    <row r="718" spans="2:12" ht="15.75" customHeight="1">
      <c r="B718" s="15"/>
      <c r="C718" s="15"/>
      <c r="D718" s="15"/>
      <c r="E718" s="15"/>
      <c r="F718" s="49"/>
      <c r="J718" s="15"/>
      <c r="L718" s="15"/>
    </row>
    <row r="719" spans="2:12" ht="15.75" customHeight="1">
      <c r="B719" s="15"/>
      <c r="C719" s="15"/>
      <c r="D719" s="15"/>
      <c r="E719" s="15"/>
      <c r="F719" s="49"/>
      <c r="J719" s="15"/>
      <c r="L719" s="15"/>
    </row>
    <row r="720" spans="2:12" ht="15.75" customHeight="1">
      <c r="B720" s="15"/>
      <c r="C720" s="15"/>
      <c r="D720" s="15"/>
      <c r="E720" s="15"/>
      <c r="F720" s="49"/>
      <c r="J720" s="15"/>
      <c r="L720" s="15"/>
    </row>
    <row r="721" spans="2:12" ht="15.75" customHeight="1">
      <c r="B721" s="15"/>
      <c r="C721" s="15"/>
      <c r="D721" s="15"/>
      <c r="E721" s="15"/>
      <c r="F721" s="49"/>
      <c r="J721" s="15"/>
      <c r="L721" s="15"/>
    </row>
    <row r="722" spans="2:12" ht="15.75" customHeight="1">
      <c r="B722" s="15"/>
      <c r="C722" s="15"/>
      <c r="D722" s="15"/>
      <c r="E722" s="15"/>
      <c r="F722" s="49"/>
      <c r="J722" s="15"/>
      <c r="L722" s="15"/>
    </row>
    <row r="723" spans="2:12" ht="15.75" customHeight="1">
      <c r="B723" s="15"/>
      <c r="C723" s="15"/>
      <c r="D723" s="15"/>
      <c r="E723" s="15"/>
      <c r="F723" s="49"/>
      <c r="J723" s="15"/>
      <c r="L723" s="15"/>
    </row>
    <row r="724" spans="2:12" ht="15.75" customHeight="1">
      <c r="B724" s="15"/>
      <c r="C724" s="15"/>
      <c r="D724" s="15"/>
      <c r="E724" s="15"/>
      <c r="F724" s="49"/>
      <c r="J724" s="15"/>
      <c r="L724" s="15"/>
    </row>
    <row r="725" spans="2:12" ht="15.75" customHeight="1">
      <c r="B725" s="15"/>
      <c r="C725" s="15"/>
      <c r="D725" s="15"/>
      <c r="E725" s="15"/>
      <c r="F725" s="49"/>
      <c r="J725" s="15"/>
      <c r="L725" s="15"/>
    </row>
    <row r="726" spans="2:12" ht="15.75" customHeight="1">
      <c r="B726" s="15"/>
      <c r="C726" s="15"/>
      <c r="D726" s="15"/>
      <c r="E726" s="15"/>
      <c r="F726" s="49"/>
      <c r="J726" s="15"/>
      <c r="L726" s="15"/>
    </row>
    <row r="727" spans="2:12" ht="15.75" customHeight="1">
      <c r="B727" s="15"/>
      <c r="C727" s="15"/>
      <c r="D727" s="15"/>
      <c r="E727" s="15"/>
      <c r="F727" s="49"/>
      <c r="J727" s="15"/>
      <c r="L727" s="15"/>
    </row>
    <row r="728" spans="2:12" ht="15.75" customHeight="1">
      <c r="B728" s="15"/>
      <c r="C728" s="15"/>
      <c r="D728" s="15"/>
      <c r="E728" s="15"/>
      <c r="F728" s="49"/>
      <c r="J728" s="15"/>
      <c r="L728" s="15"/>
    </row>
    <row r="729" spans="2:12" ht="15.75" customHeight="1">
      <c r="B729" s="15"/>
      <c r="C729" s="15"/>
      <c r="D729" s="15"/>
      <c r="E729" s="15"/>
      <c r="F729" s="49"/>
      <c r="J729" s="15"/>
      <c r="L729" s="15"/>
    </row>
    <row r="730" spans="2:12" ht="15.75" customHeight="1">
      <c r="B730" s="15"/>
      <c r="C730" s="15"/>
      <c r="D730" s="15"/>
      <c r="E730" s="15"/>
      <c r="F730" s="49"/>
      <c r="J730" s="15"/>
      <c r="L730" s="15"/>
    </row>
    <row r="731" spans="2:12" ht="15.75" customHeight="1">
      <c r="B731" s="15"/>
      <c r="C731" s="15"/>
      <c r="D731" s="15"/>
      <c r="E731" s="15"/>
      <c r="F731" s="49"/>
      <c r="J731" s="15"/>
      <c r="L731" s="15"/>
    </row>
    <row r="732" spans="2:12" ht="15.75" customHeight="1">
      <c r="B732" s="15"/>
      <c r="C732" s="15"/>
      <c r="D732" s="15"/>
      <c r="E732" s="15"/>
      <c r="F732" s="49"/>
      <c r="J732" s="15"/>
      <c r="L732" s="15"/>
    </row>
    <row r="733" spans="2:12" ht="15.75" customHeight="1">
      <c r="B733" s="15"/>
      <c r="C733" s="15"/>
      <c r="D733" s="15"/>
      <c r="E733" s="15"/>
      <c r="F733" s="49"/>
      <c r="J733" s="15"/>
      <c r="L733" s="15"/>
    </row>
    <row r="734" spans="2:12" ht="15.75" customHeight="1">
      <c r="B734" s="15"/>
      <c r="C734" s="15"/>
      <c r="D734" s="15"/>
      <c r="E734" s="15"/>
      <c r="F734" s="49"/>
      <c r="J734" s="15"/>
      <c r="L734" s="15"/>
    </row>
    <row r="735" spans="2:12" ht="15.75" customHeight="1">
      <c r="B735" s="15"/>
      <c r="C735" s="15"/>
      <c r="D735" s="15"/>
      <c r="E735" s="15"/>
      <c r="F735" s="49"/>
      <c r="J735" s="15"/>
      <c r="L735" s="15"/>
    </row>
    <row r="736" spans="2:12" ht="15.75" customHeight="1">
      <c r="B736" s="15"/>
      <c r="C736" s="15"/>
      <c r="D736" s="15"/>
      <c r="E736" s="15"/>
      <c r="F736" s="49"/>
      <c r="J736" s="15"/>
      <c r="L736" s="15"/>
    </row>
    <row r="737" spans="2:12" ht="15.75" customHeight="1">
      <c r="B737" s="15"/>
      <c r="C737" s="15"/>
      <c r="D737" s="15"/>
      <c r="E737" s="15"/>
      <c r="F737" s="49"/>
      <c r="J737" s="15"/>
      <c r="L737" s="15"/>
    </row>
    <row r="738" spans="2:12" ht="15.75" customHeight="1">
      <c r="B738" s="15"/>
      <c r="C738" s="15"/>
      <c r="D738" s="15"/>
      <c r="E738" s="15"/>
      <c r="F738" s="49"/>
      <c r="J738" s="15"/>
      <c r="L738" s="15"/>
    </row>
    <row r="739" spans="2:12" ht="15.75" customHeight="1">
      <c r="B739" s="15"/>
      <c r="C739" s="15"/>
      <c r="D739" s="15"/>
      <c r="E739" s="15"/>
      <c r="F739" s="49"/>
      <c r="J739" s="15"/>
      <c r="L739" s="15"/>
    </row>
    <row r="740" spans="2:12" ht="15.75" customHeight="1">
      <c r="B740" s="15"/>
      <c r="C740" s="15"/>
      <c r="D740" s="15"/>
      <c r="E740" s="15"/>
      <c r="F740" s="49"/>
      <c r="J740" s="15"/>
      <c r="L740" s="15"/>
    </row>
    <row r="741" spans="2:12" ht="15.75" customHeight="1">
      <c r="B741" s="15"/>
      <c r="C741" s="15"/>
      <c r="D741" s="15"/>
      <c r="E741" s="15"/>
      <c r="F741" s="49"/>
      <c r="J741" s="15"/>
      <c r="L741" s="15"/>
    </row>
    <row r="742" spans="2:12" ht="15.75" customHeight="1">
      <c r="B742" s="15"/>
      <c r="C742" s="15"/>
      <c r="D742" s="15"/>
      <c r="E742" s="15"/>
      <c r="F742" s="49"/>
      <c r="J742" s="15"/>
      <c r="L742" s="15"/>
    </row>
    <row r="743" spans="2:12" ht="15.75" customHeight="1">
      <c r="B743" s="15"/>
      <c r="C743" s="15"/>
      <c r="D743" s="15"/>
      <c r="E743" s="15"/>
      <c r="F743" s="49"/>
      <c r="J743" s="15"/>
      <c r="L743" s="15"/>
    </row>
    <row r="744" spans="2:12" ht="15.75" customHeight="1">
      <c r="B744" s="15"/>
      <c r="C744" s="15"/>
      <c r="D744" s="15"/>
      <c r="E744" s="15"/>
      <c r="F744" s="49"/>
      <c r="J744" s="15"/>
      <c r="L744" s="15"/>
    </row>
    <row r="745" spans="2:12" ht="15.75" customHeight="1">
      <c r="B745" s="15"/>
      <c r="C745" s="15"/>
      <c r="D745" s="15"/>
      <c r="E745" s="15"/>
      <c r="F745" s="49"/>
      <c r="J745" s="15"/>
      <c r="L745" s="15"/>
    </row>
    <row r="746" spans="2:12" ht="15.75" customHeight="1">
      <c r="B746" s="15"/>
      <c r="C746" s="15"/>
      <c r="D746" s="15"/>
      <c r="E746" s="15"/>
      <c r="F746" s="49"/>
      <c r="J746" s="15"/>
      <c r="L746" s="15"/>
    </row>
    <row r="747" spans="2:12" ht="15.75" customHeight="1">
      <c r="B747" s="15"/>
      <c r="C747" s="15"/>
      <c r="D747" s="15"/>
      <c r="E747" s="15"/>
      <c r="F747" s="49"/>
      <c r="J747" s="15"/>
      <c r="L747" s="15"/>
    </row>
    <row r="748" spans="2:12" ht="15.75" customHeight="1">
      <c r="B748" s="15"/>
      <c r="C748" s="15"/>
      <c r="D748" s="15"/>
      <c r="E748" s="15"/>
      <c r="F748" s="49"/>
      <c r="J748" s="15"/>
      <c r="L748" s="15"/>
    </row>
    <row r="749" spans="2:12" ht="15.75" customHeight="1">
      <c r="B749" s="15"/>
      <c r="C749" s="15"/>
      <c r="D749" s="15"/>
      <c r="E749" s="15"/>
      <c r="F749" s="49"/>
      <c r="J749" s="15"/>
      <c r="L749" s="15"/>
    </row>
    <row r="750" spans="2:12" ht="15.75" customHeight="1">
      <c r="B750" s="15"/>
      <c r="C750" s="15"/>
      <c r="D750" s="15"/>
      <c r="E750" s="15"/>
      <c r="F750" s="49"/>
      <c r="J750" s="15"/>
      <c r="L750" s="15"/>
    </row>
    <row r="751" spans="2:12" ht="15.75" customHeight="1">
      <c r="B751" s="15"/>
      <c r="C751" s="15"/>
      <c r="D751" s="15"/>
      <c r="E751" s="15"/>
      <c r="F751" s="49"/>
      <c r="J751" s="15"/>
      <c r="L751" s="15"/>
    </row>
    <row r="752" spans="2:12" ht="15.75" customHeight="1">
      <c r="B752" s="15"/>
      <c r="C752" s="15"/>
      <c r="D752" s="15"/>
      <c r="E752" s="15"/>
      <c r="F752" s="49"/>
      <c r="J752" s="15"/>
      <c r="L752" s="15"/>
    </row>
    <row r="753" spans="2:12" ht="15.75" customHeight="1">
      <c r="B753" s="15"/>
      <c r="C753" s="15"/>
      <c r="D753" s="15"/>
      <c r="E753" s="15"/>
      <c r="F753" s="49"/>
      <c r="J753" s="15"/>
      <c r="L753" s="15"/>
    </row>
    <row r="754" spans="2:12" ht="15.75" customHeight="1">
      <c r="B754" s="15"/>
      <c r="C754" s="15"/>
      <c r="D754" s="15"/>
      <c r="E754" s="15"/>
      <c r="F754" s="49"/>
      <c r="J754" s="15"/>
      <c r="L754" s="15"/>
    </row>
    <row r="755" spans="2:12" ht="15.75" customHeight="1">
      <c r="B755" s="15"/>
      <c r="C755" s="15"/>
      <c r="D755" s="15"/>
      <c r="E755" s="15"/>
      <c r="F755" s="49"/>
      <c r="J755" s="15"/>
      <c r="L755" s="15"/>
    </row>
    <row r="756" spans="2:12" ht="15.75" customHeight="1">
      <c r="B756" s="15"/>
      <c r="C756" s="15"/>
      <c r="D756" s="15"/>
      <c r="E756" s="15"/>
      <c r="F756" s="49"/>
      <c r="J756" s="15"/>
      <c r="L756" s="15"/>
    </row>
    <row r="757" spans="2:12" ht="15.75" customHeight="1">
      <c r="B757" s="15"/>
      <c r="C757" s="15"/>
      <c r="D757" s="15"/>
      <c r="E757" s="15"/>
      <c r="F757" s="49"/>
      <c r="J757" s="15"/>
      <c r="L757" s="15"/>
    </row>
    <row r="758" spans="2:12" ht="15.75" customHeight="1">
      <c r="B758" s="15"/>
      <c r="C758" s="15"/>
      <c r="D758" s="15"/>
      <c r="E758" s="15"/>
      <c r="F758" s="49"/>
      <c r="J758" s="15"/>
      <c r="L758" s="15"/>
    </row>
    <row r="759" spans="2:12" ht="15.75" customHeight="1">
      <c r="B759" s="15"/>
      <c r="C759" s="15"/>
      <c r="D759" s="15"/>
      <c r="E759" s="15"/>
      <c r="F759" s="49"/>
      <c r="J759" s="15"/>
      <c r="L759" s="15"/>
    </row>
    <row r="760" spans="2:12" ht="15.75" customHeight="1">
      <c r="B760" s="15"/>
      <c r="C760" s="15"/>
      <c r="D760" s="15"/>
      <c r="E760" s="15"/>
      <c r="F760" s="49"/>
      <c r="J760" s="15"/>
      <c r="L760" s="15"/>
    </row>
    <row r="761" spans="2:12" ht="15.75" customHeight="1">
      <c r="B761" s="15"/>
      <c r="C761" s="15"/>
      <c r="D761" s="15"/>
      <c r="E761" s="15"/>
      <c r="F761" s="49"/>
      <c r="J761" s="15"/>
      <c r="L761" s="15"/>
    </row>
    <row r="762" spans="2:12" ht="15.75" customHeight="1">
      <c r="B762" s="15"/>
      <c r="C762" s="15"/>
      <c r="D762" s="15"/>
      <c r="E762" s="15"/>
      <c r="F762" s="49"/>
      <c r="J762" s="15"/>
      <c r="L762" s="15"/>
    </row>
    <row r="763" spans="2:12" ht="15.75" customHeight="1">
      <c r="B763" s="15"/>
      <c r="C763" s="15"/>
      <c r="D763" s="15"/>
      <c r="E763" s="15"/>
      <c r="F763" s="49"/>
      <c r="J763" s="15"/>
      <c r="L763" s="15"/>
    </row>
    <row r="764" spans="2:12" ht="15.75" customHeight="1">
      <c r="B764" s="15"/>
      <c r="C764" s="15"/>
      <c r="D764" s="15"/>
      <c r="E764" s="15"/>
      <c r="F764" s="49"/>
      <c r="J764" s="15"/>
      <c r="L764" s="15"/>
    </row>
    <row r="765" spans="2:12" ht="15.75" customHeight="1">
      <c r="B765" s="15"/>
      <c r="C765" s="15"/>
      <c r="D765" s="15"/>
      <c r="E765" s="15"/>
      <c r="F765" s="49"/>
      <c r="J765" s="15"/>
      <c r="L765" s="15"/>
    </row>
    <row r="766" spans="2:12" ht="15.75" customHeight="1">
      <c r="B766" s="15"/>
      <c r="C766" s="15"/>
      <c r="D766" s="15"/>
      <c r="E766" s="15"/>
      <c r="F766" s="49"/>
      <c r="J766" s="15"/>
      <c r="L766" s="15"/>
    </row>
    <row r="767" spans="2:12" ht="15.75" customHeight="1">
      <c r="B767" s="15"/>
      <c r="C767" s="15"/>
      <c r="D767" s="15"/>
      <c r="E767" s="15"/>
      <c r="F767" s="49"/>
      <c r="J767" s="15"/>
      <c r="L767" s="15"/>
    </row>
    <row r="768" spans="2:12" ht="15.75" customHeight="1">
      <c r="B768" s="15"/>
      <c r="C768" s="15"/>
      <c r="D768" s="15"/>
      <c r="E768" s="15"/>
      <c r="F768" s="49"/>
      <c r="J768" s="15"/>
      <c r="L768" s="15"/>
    </row>
    <row r="769" spans="2:12" ht="15.75" customHeight="1">
      <c r="B769" s="15"/>
      <c r="C769" s="15"/>
      <c r="D769" s="15"/>
      <c r="E769" s="15"/>
      <c r="F769" s="49"/>
      <c r="J769" s="15"/>
      <c r="L769" s="15"/>
    </row>
    <row r="770" spans="2:12" ht="15.75" customHeight="1">
      <c r="B770" s="15"/>
      <c r="C770" s="15"/>
      <c r="D770" s="15"/>
      <c r="E770" s="15"/>
      <c r="F770" s="49"/>
      <c r="J770" s="15"/>
      <c r="L770" s="15"/>
    </row>
    <row r="771" spans="2:12" ht="15.75" customHeight="1">
      <c r="B771" s="15"/>
      <c r="C771" s="15"/>
      <c r="D771" s="15"/>
      <c r="E771" s="15"/>
      <c r="F771" s="49"/>
      <c r="J771" s="15"/>
      <c r="L771" s="15"/>
    </row>
    <row r="772" spans="2:12" ht="15.75" customHeight="1">
      <c r="B772" s="15"/>
      <c r="C772" s="15"/>
      <c r="D772" s="15"/>
      <c r="E772" s="15"/>
      <c r="F772" s="49"/>
      <c r="J772" s="15"/>
      <c r="L772" s="15"/>
    </row>
    <row r="773" spans="2:12" ht="15.75" customHeight="1">
      <c r="B773" s="15"/>
      <c r="C773" s="15"/>
      <c r="D773" s="15"/>
      <c r="E773" s="15"/>
      <c r="F773" s="49"/>
      <c r="J773" s="15"/>
      <c r="L773" s="15"/>
    </row>
    <row r="774" spans="2:12" ht="15.75" customHeight="1">
      <c r="B774" s="15"/>
      <c r="C774" s="15"/>
      <c r="D774" s="15"/>
      <c r="E774" s="15"/>
      <c r="F774" s="49"/>
      <c r="J774" s="15"/>
      <c r="L774" s="15"/>
    </row>
    <row r="775" spans="2:12" ht="15.75" customHeight="1">
      <c r="B775" s="15"/>
      <c r="C775" s="15"/>
      <c r="D775" s="15"/>
      <c r="E775" s="15"/>
      <c r="F775" s="49"/>
      <c r="J775" s="15"/>
      <c r="L775" s="15"/>
    </row>
    <row r="776" spans="2:12" ht="15.75" customHeight="1">
      <c r="B776" s="15"/>
      <c r="C776" s="15"/>
      <c r="D776" s="15"/>
      <c r="E776" s="15"/>
      <c r="F776" s="49"/>
      <c r="J776" s="15"/>
      <c r="L776" s="15"/>
    </row>
    <row r="777" spans="2:12" ht="15.75" customHeight="1">
      <c r="B777" s="15"/>
      <c r="C777" s="15"/>
      <c r="D777" s="15"/>
      <c r="E777" s="15"/>
      <c r="F777" s="49"/>
      <c r="J777" s="15"/>
      <c r="L777" s="15"/>
    </row>
    <row r="778" spans="2:12" ht="15.75" customHeight="1">
      <c r="B778" s="15"/>
      <c r="C778" s="15"/>
      <c r="D778" s="15"/>
      <c r="E778" s="15"/>
      <c r="F778" s="49"/>
      <c r="J778" s="15"/>
      <c r="L778" s="15"/>
    </row>
    <row r="779" spans="2:12" ht="15.75" customHeight="1">
      <c r="B779" s="15"/>
      <c r="C779" s="15"/>
      <c r="D779" s="15"/>
      <c r="E779" s="15"/>
      <c r="F779" s="49"/>
      <c r="J779" s="15"/>
      <c r="L779" s="15"/>
    </row>
    <row r="780" spans="2:12" ht="15.75" customHeight="1">
      <c r="B780" s="15"/>
      <c r="C780" s="15"/>
      <c r="D780" s="15"/>
      <c r="E780" s="15"/>
      <c r="F780" s="49"/>
      <c r="J780" s="15"/>
      <c r="L780" s="15"/>
    </row>
    <row r="781" spans="2:12" ht="15.75" customHeight="1">
      <c r="B781" s="15"/>
      <c r="C781" s="15"/>
      <c r="D781" s="15"/>
      <c r="E781" s="15"/>
      <c r="F781" s="49"/>
      <c r="J781" s="15"/>
      <c r="L781" s="15"/>
    </row>
    <row r="782" spans="2:12" ht="15.75" customHeight="1">
      <c r="B782" s="15"/>
      <c r="C782" s="15"/>
      <c r="D782" s="15"/>
      <c r="E782" s="15"/>
      <c r="F782" s="49"/>
      <c r="J782" s="15"/>
      <c r="L782" s="15"/>
    </row>
    <row r="783" spans="2:12" ht="15.75" customHeight="1">
      <c r="B783" s="15"/>
      <c r="C783" s="15"/>
      <c r="D783" s="15"/>
      <c r="E783" s="15"/>
      <c r="F783" s="49"/>
      <c r="J783" s="15"/>
      <c r="L783" s="15"/>
    </row>
    <row r="784" spans="2:12" ht="15.75" customHeight="1">
      <c r="B784" s="15"/>
      <c r="C784" s="15"/>
      <c r="D784" s="15"/>
      <c r="E784" s="15"/>
      <c r="F784" s="49"/>
      <c r="J784" s="15"/>
      <c r="L784" s="15"/>
    </row>
    <row r="785" spans="2:12" ht="15.75" customHeight="1">
      <c r="B785" s="15"/>
      <c r="C785" s="15"/>
      <c r="D785" s="15"/>
      <c r="E785" s="15"/>
      <c r="F785" s="49"/>
      <c r="J785" s="15"/>
      <c r="L785" s="15"/>
    </row>
    <row r="786" spans="2:12" ht="15.75" customHeight="1">
      <c r="B786" s="15"/>
      <c r="C786" s="15"/>
      <c r="D786" s="15"/>
      <c r="E786" s="15"/>
      <c r="F786" s="49"/>
      <c r="J786" s="15"/>
      <c r="L786" s="15"/>
    </row>
    <row r="787" spans="2:12" ht="15.75" customHeight="1">
      <c r="B787" s="15"/>
      <c r="C787" s="15"/>
      <c r="D787" s="15"/>
      <c r="E787" s="15"/>
      <c r="F787" s="49"/>
      <c r="J787" s="15"/>
      <c r="L787" s="15"/>
    </row>
    <row r="788" spans="2:12" ht="15.75" customHeight="1">
      <c r="B788" s="15"/>
      <c r="C788" s="15"/>
      <c r="D788" s="15"/>
      <c r="E788" s="15"/>
      <c r="F788" s="49"/>
      <c r="J788" s="15"/>
      <c r="L788" s="15"/>
    </row>
    <row r="789" spans="2:12" ht="15.75" customHeight="1">
      <c r="B789" s="15"/>
      <c r="C789" s="15"/>
      <c r="D789" s="15"/>
      <c r="E789" s="15"/>
      <c r="F789" s="49"/>
      <c r="J789" s="15"/>
      <c r="L789" s="15"/>
    </row>
    <row r="790" spans="2:12" ht="15.75" customHeight="1">
      <c r="B790" s="15"/>
      <c r="C790" s="15"/>
      <c r="D790" s="15"/>
      <c r="E790" s="15"/>
      <c r="F790" s="49"/>
      <c r="J790" s="15"/>
      <c r="L790" s="15"/>
    </row>
    <row r="791" spans="2:12" ht="15.75" customHeight="1">
      <c r="B791" s="15"/>
      <c r="C791" s="15"/>
      <c r="D791" s="15"/>
      <c r="E791" s="15"/>
      <c r="F791" s="49"/>
      <c r="J791" s="15"/>
      <c r="L791" s="15"/>
    </row>
    <row r="792" spans="2:12" ht="15.75" customHeight="1">
      <c r="B792" s="15"/>
      <c r="C792" s="15"/>
      <c r="D792" s="15"/>
      <c r="E792" s="15"/>
      <c r="F792" s="49"/>
      <c r="J792" s="15"/>
      <c r="L792" s="15"/>
    </row>
    <row r="793" spans="2:12" ht="15.75" customHeight="1">
      <c r="B793" s="15"/>
      <c r="C793" s="15"/>
      <c r="D793" s="15"/>
      <c r="E793" s="15"/>
      <c r="F793" s="49"/>
      <c r="J793" s="15"/>
      <c r="L793" s="15"/>
    </row>
    <row r="794" spans="2:12" ht="15.75" customHeight="1">
      <c r="B794" s="15"/>
      <c r="C794" s="15"/>
      <c r="D794" s="15"/>
      <c r="E794" s="15"/>
      <c r="F794" s="49"/>
      <c r="J794" s="15"/>
      <c r="L794" s="15"/>
    </row>
    <row r="795" spans="2:12" ht="15.75" customHeight="1">
      <c r="B795" s="15"/>
      <c r="C795" s="15"/>
      <c r="D795" s="15"/>
      <c r="E795" s="15"/>
      <c r="F795" s="49"/>
      <c r="J795" s="15"/>
      <c r="L795" s="15"/>
    </row>
    <row r="796" spans="2:12" ht="15.75" customHeight="1">
      <c r="B796" s="15"/>
      <c r="C796" s="15"/>
      <c r="D796" s="15"/>
      <c r="E796" s="15"/>
      <c r="F796" s="49"/>
      <c r="J796" s="15"/>
      <c r="L796" s="15"/>
    </row>
    <row r="797" spans="2:12" ht="15.75" customHeight="1">
      <c r="B797" s="15"/>
      <c r="C797" s="15"/>
      <c r="D797" s="15"/>
      <c r="E797" s="15"/>
      <c r="F797" s="49"/>
      <c r="J797" s="15"/>
      <c r="L797" s="15"/>
    </row>
    <row r="798" spans="2:12" ht="15.75" customHeight="1">
      <c r="B798" s="15"/>
      <c r="C798" s="15"/>
      <c r="D798" s="15"/>
      <c r="E798" s="15"/>
      <c r="F798" s="49"/>
      <c r="J798" s="15"/>
      <c r="L798" s="15"/>
    </row>
    <row r="799" spans="2:12" ht="15.75" customHeight="1">
      <c r="B799" s="15"/>
      <c r="C799" s="15"/>
      <c r="D799" s="15"/>
      <c r="E799" s="15"/>
      <c r="F799" s="49"/>
      <c r="J799" s="15"/>
      <c r="L799" s="15"/>
    </row>
    <row r="800" spans="2:12" ht="15.75" customHeight="1">
      <c r="B800" s="15"/>
      <c r="C800" s="15"/>
      <c r="D800" s="15"/>
      <c r="E800" s="15"/>
      <c r="F800" s="49"/>
      <c r="J800" s="15"/>
      <c r="L800" s="15"/>
    </row>
    <row r="801" spans="2:12" ht="15.75" customHeight="1">
      <c r="B801" s="15"/>
      <c r="C801" s="15"/>
      <c r="D801" s="15"/>
      <c r="E801" s="15"/>
      <c r="F801" s="49"/>
      <c r="J801" s="15"/>
      <c r="L801" s="15"/>
    </row>
    <row r="802" spans="2:12" ht="15.75" customHeight="1">
      <c r="B802" s="15"/>
      <c r="C802" s="15"/>
      <c r="D802" s="15"/>
      <c r="E802" s="15"/>
      <c r="F802" s="49"/>
      <c r="J802" s="15"/>
      <c r="L802" s="15"/>
    </row>
    <row r="803" spans="2:12" ht="15.75" customHeight="1">
      <c r="B803" s="15"/>
      <c r="C803" s="15"/>
      <c r="D803" s="15"/>
      <c r="E803" s="15"/>
      <c r="F803" s="49"/>
      <c r="J803" s="15"/>
      <c r="L803" s="15"/>
    </row>
    <row r="804" spans="2:12" ht="15.75" customHeight="1">
      <c r="B804" s="15"/>
      <c r="C804" s="15"/>
      <c r="D804" s="15"/>
      <c r="E804" s="15"/>
      <c r="F804" s="49"/>
      <c r="J804" s="15"/>
      <c r="L804" s="15"/>
    </row>
    <row r="805" spans="2:12" ht="15.75" customHeight="1">
      <c r="B805" s="15"/>
      <c r="C805" s="15"/>
      <c r="D805" s="15"/>
      <c r="E805" s="15"/>
      <c r="F805" s="49"/>
      <c r="J805" s="15"/>
      <c r="L805" s="15"/>
    </row>
    <row r="806" spans="2:12" ht="15.75" customHeight="1">
      <c r="B806" s="15"/>
      <c r="C806" s="15"/>
      <c r="D806" s="15"/>
      <c r="E806" s="15"/>
      <c r="F806" s="49"/>
      <c r="J806" s="15"/>
      <c r="L806" s="15"/>
    </row>
    <row r="807" spans="2:12" ht="15.75" customHeight="1">
      <c r="B807" s="15"/>
      <c r="C807" s="15"/>
      <c r="D807" s="15"/>
      <c r="E807" s="15"/>
      <c r="F807" s="49"/>
      <c r="J807" s="15"/>
      <c r="L807" s="15"/>
    </row>
    <row r="808" spans="2:12" ht="15.75" customHeight="1">
      <c r="B808" s="15"/>
      <c r="C808" s="15"/>
      <c r="D808" s="15"/>
      <c r="E808" s="15"/>
      <c r="F808" s="49"/>
      <c r="J808" s="15"/>
      <c r="L808" s="15"/>
    </row>
    <row r="809" spans="2:12" ht="15.75" customHeight="1">
      <c r="B809" s="15"/>
      <c r="C809" s="15"/>
      <c r="D809" s="15"/>
      <c r="E809" s="15"/>
      <c r="F809" s="49"/>
      <c r="J809" s="15"/>
      <c r="L809" s="15"/>
    </row>
    <row r="810" spans="2:12" ht="15.75" customHeight="1">
      <c r="B810" s="15"/>
      <c r="C810" s="15"/>
      <c r="D810" s="15"/>
      <c r="E810" s="15"/>
      <c r="F810" s="49"/>
      <c r="J810" s="15"/>
      <c r="L810" s="15"/>
    </row>
    <row r="811" spans="2:12" ht="15.75" customHeight="1">
      <c r="B811" s="15"/>
      <c r="C811" s="15"/>
      <c r="D811" s="15"/>
      <c r="E811" s="15"/>
      <c r="F811" s="49"/>
      <c r="J811" s="15"/>
      <c r="L811" s="15"/>
    </row>
    <row r="812" spans="2:12" ht="15.75" customHeight="1">
      <c r="B812" s="15"/>
      <c r="C812" s="15"/>
      <c r="D812" s="15"/>
      <c r="E812" s="15"/>
      <c r="F812" s="49"/>
      <c r="J812" s="15"/>
      <c r="L812" s="15"/>
    </row>
    <row r="813" spans="2:12" ht="15.75" customHeight="1">
      <c r="B813" s="15"/>
      <c r="C813" s="15"/>
      <c r="D813" s="15"/>
      <c r="E813" s="15"/>
      <c r="F813" s="49"/>
      <c r="J813" s="15"/>
      <c r="L813" s="15"/>
    </row>
    <row r="814" spans="2:12" ht="15.75" customHeight="1">
      <c r="B814" s="15"/>
      <c r="C814" s="15"/>
      <c r="D814" s="15"/>
      <c r="E814" s="15"/>
      <c r="F814" s="49"/>
      <c r="J814" s="15"/>
      <c r="L814" s="15"/>
    </row>
    <row r="815" spans="2:12" ht="15.75" customHeight="1">
      <c r="B815" s="15"/>
      <c r="C815" s="15"/>
      <c r="D815" s="15"/>
      <c r="E815" s="15"/>
      <c r="F815" s="49"/>
      <c r="J815" s="15"/>
      <c r="L815" s="15"/>
    </row>
    <row r="816" spans="2:12" ht="15.75" customHeight="1">
      <c r="B816" s="15"/>
      <c r="C816" s="15"/>
      <c r="D816" s="15"/>
      <c r="E816" s="15"/>
      <c r="F816" s="49"/>
      <c r="J816" s="15"/>
      <c r="L816" s="15"/>
    </row>
    <row r="817" spans="2:12" ht="15.75" customHeight="1">
      <c r="B817" s="15"/>
      <c r="C817" s="15"/>
      <c r="D817" s="15"/>
      <c r="E817" s="15"/>
      <c r="F817" s="49"/>
      <c r="J817" s="15"/>
      <c r="L817" s="15"/>
    </row>
    <row r="818" spans="2:12" ht="15.75" customHeight="1">
      <c r="B818" s="15"/>
      <c r="C818" s="15"/>
      <c r="D818" s="15"/>
      <c r="E818" s="15"/>
      <c r="F818" s="49"/>
      <c r="J818" s="15"/>
      <c r="L818" s="15"/>
    </row>
    <row r="819" spans="2:12" ht="15.75" customHeight="1">
      <c r="B819" s="15"/>
      <c r="C819" s="15"/>
      <c r="D819" s="15"/>
      <c r="E819" s="15"/>
      <c r="F819" s="49"/>
      <c r="J819" s="15"/>
      <c r="L819" s="15"/>
    </row>
    <row r="820" spans="2:12" ht="15.75" customHeight="1">
      <c r="B820" s="15"/>
      <c r="C820" s="15"/>
      <c r="D820" s="15"/>
      <c r="E820" s="15"/>
      <c r="F820" s="49"/>
      <c r="J820" s="15"/>
      <c r="L820" s="15"/>
    </row>
    <row r="821" spans="2:12" ht="15.75" customHeight="1">
      <c r="B821" s="15"/>
      <c r="C821" s="15"/>
      <c r="D821" s="15"/>
      <c r="E821" s="15"/>
      <c r="F821" s="49"/>
      <c r="J821" s="15"/>
      <c r="L821" s="15"/>
    </row>
    <row r="822" spans="2:12" ht="15.75" customHeight="1">
      <c r="B822" s="15"/>
      <c r="C822" s="15"/>
      <c r="D822" s="15"/>
      <c r="E822" s="15"/>
      <c r="F822" s="49"/>
      <c r="J822" s="15"/>
      <c r="L822" s="15"/>
    </row>
    <row r="823" spans="2:12" ht="15.75" customHeight="1">
      <c r="B823" s="15"/>
      <c r="C823" s="15"/>
      <c r="D823" s="15"/>
      <c r="E823" s="15"/>
      <c r="F823" s="49"/>
      <c r="J823" s="15"/>
      <c r="L823" s="15"/>
    </row>
    <row r="824" spans="2:12" ht="15.75" customHeight="1">
      <c r="B824" s="15"/>
      <c r="C824" s="15"/>
      <c r="D824" s="15"/>
      <c r="E824" s="15"/>
      <c r="F824" s="49"/>
      <c r="J824" s="15"/>
      <c r="L824" s="15"/>
    </row>
    <row r="825" spans="2:12" ht="15.75" customHeight="1">
      <c r="B825" s="15"/>
      <c r="C825" s="15"/>
      <c r="D825" s="15"/>
      <c r="E825" s="15"/>
      <c r="F825" s="49"/>
      <c r="J825" s="15"/>
      <c r="L825" s="15"/>
    </row>
    <row r="826" spans="2:12" ht="15.75" customHeight="1">
      <c r="B826" s="15"/>
      <c r="C826" s="15"/>
      <c r="D826" s="15"/>
      <c r="E826" s="15"/>
      <c r="F826" s="49"/>
      <c r="J826" s="15"/>
      <c r="L826" s="15"/>
    </row>
    <row r="827" spans="2:12" ht="15.75" customHeight="1">
      <c r="B827" s="15"/>
      <c r="C827" s="15"/>
      <c r="D827" s="15"/>
      <c r="E827" s="15"/>
      <c r="F827" s="49"/>
      <c r="J827" s="15"/>
      <c r="L827" s="15"/>
    </row>
    <row r="828" spans="2:12" ht="15.75" customHeight="1">
      <c r="B828" s="15"/>
      <c r="C828" s="15"/>
      <c r="D828" s="15"/>
      <c r="E828" s="15"/>
      <c r="F828" s="49"/>
      <c r="J828" s="15"/>
      <c r="L828" s="15"/>
    </row>
    <row r="829" spans="2:12" ht="15.75" customHeight="1">
      <c r="B829" s="15"/>
      <c r="C829" s="15"/>
      <c r="D829" s="15"/>
      <c r="E829" s="15"/>
      <c r="F829" s="49"/>
      <c r="J829" s="15"/>
      <c r="L829" s="15"/>
    </row>
    <row r="830" spans="2:12" ht="15.75" customHeight="1">
      <c r="B830" s="15"/>
      <c r="C830" s="15"/>
      <c r="D830" s="15"/>
      <c r="E830" s="15"/>
      <c r="F830" s="49"/>
      <c r="J830" s="15"/>
      <c r="L830" s="15"/>
    </row>
    <row r="831" spans="2:12" ht="15.75" customHeight="1">
      <c r="B831" s="15"/>
      <c r="C831" s="15"/>
      <c r="D831" s="15"/>
      <c r="E831" s="15"/>
      <c r="F831" s="49"/>
      <c r="J831" s="15"/>
      <c r="L831" s="15"/>
    </row>
    <row r="832" spans="2:12" ht="15.75" customHeight="1">
      <c r="B832" s="15"/>
      <c r="C832" s="15"/>
      <c r="D832" s="15"/>
      <c r="E832" s="15"/>
      <c r="F832" s="49"/>
      <c r="J832" s="15"/>
      <c r="L832" s="15"/>
    </row>
    <row r="833" spans="2:12" ht="15.75" customHeight="1">
      <c r="B833" s="15"/>
      <c r="C833" s="15"/>
      <c r="D833" s="15"/>
      <c r="E833" s="15"/>
      <c r="F833" s="49"/>
      <c r="J833" s="15"/>
      <c r="L833" s="15"/>
    </row>
    <row r="834" spans="2:12" ht="15.75" customHeight="1">
      <c r="B834" s="15"/>
      <c r="C834" s="15"/>
      <c r="D834" s="15"/>
      <c r="E834" s="15"/>
      <c r="F834" s="49"/>
      <c r="J834" s="15"/>
      <c r="L834" s="15"/>
    </row>
    <row r="835" spans="2:12" ht="15.75" customHeight="1">
      <c r="B835" s="15"/>
      <c r="C835" s="15"/>
      <c r="D835" s="15"/>
      <c r="E835" s="15"/>
      <c r="F835" s="49"/>
      <c r="J835" s="15"/>
      <c r="L835" s="15"/>
    </row>
    <row r="836" spans="2:12" ht="15.75" customHeight="1">
      <c r="B836" s="15"/>
      <c r="C836" s="15"/>
      <c r="D836" s="15"/>
      <c r="E836" s="15"/>
      <c r="F836" s="49"/>
      <c r="J836" s="15"/>
      <c r="L836" s="15"/>
    </row>
    <row r="837" spans="2:12" ht="15.75" customHeight="1">
      <c r="B837" s="15"/>
      <c r="C837" s="15"/>
      <c r="D837" s="15"/>
      <c r="E837" s="15"/>
      <c r="F837" s="49"/>
      <c r="J837" s="15"/>
      <c r="L837" s="15"/>
    </row>
    <row r="838" spans="2:12" ht="15.75" customHeight="1">
      <c r="B838" s="15"/>
      <c r="C838" s="15"/>
      <c r="D838" s="15"/>
      <c r="E838" s="15"/>
      <c r="F838" s="49"/>
      <c r="J838" s="15"/>
      <c r="L838" s="15"/>
    </row>
    <row r="839" spans="2:12" ht="15.75" customHeight="1">
      <c r="B839" s="15"/>
      <c r="C839" s="15"/>
      <c r="D839" s="15"/>
      <c r="E839" s="15"/>
      <c r="F839" s="49"/>
      <c r="J839" s="15"/>
      <c r="L839" s="15"/>
    </row>
    <row r="840" spans="2:12" ht="15.75" customHeight="1">
      <c r="B840" s="15"/>
      <c r="C840" s="15"/>
      <c r="D840" s="15"/>
      <c r="E840" s="15"/>
      <c r="F840" s="49"/>
      <c r="J840" s="15"/>
      <c r="L840" s="15"/>
    </row>
    <row r="841" spans="2:12" ht="15.75" customHeight="1">
      <c r="B841" s="15"/>
      <c r="C841" s="15"/>
      <c r="D841" s="15"/>
      <c r="E841" s="15"/>
      <c r="F841" s="49"/>
      <c r="J841" s="15"/>
      <c r="L841" s="15"/>
    </row>
    <row r="842" spans="2:12" ht="15.75" customHeight="1">
      <c r="B842" s="15"/>
      <c r="C842" s="15"/>
      <c r="D842" s="15"/>
      <c r="E842" s="15"/>
      <c r="F842" s="49"/>
      <c r="J842" s="15"/>
      <c r="L842" s="15"/>
    </row>
    <row r="843" spans="2:12" ht="15.75" customHeight="1">
      <c r="B843" s="15"/>
      <c r="C843" s="15"/>
      <c r="D843" s="15"/>
      <c r="E843" s="15"/>
      <c r="F843" s="49"/>
      <c r="J843" s="15"/>
      <c r="L843" s="15"/>
    </row>
    <row r="844" spans="2:12" ht="15.75" customHeight="1">
      <c r="B844" s="15"/>
      <c r="C844" s="15"/>
      <c r="D844" s="15"/>
      <c r="E844" s="15"/>
      <c r="F844" s="49"/>
      <c r="J844" s="15"/>
      <c r="L844" s="15"/>
    </row>
    <row r="845" spans="2:12" ht="15.75" customHeight="1">
      <c r="B845" s="15"/>
      <c r="C845" s="15"/>
      <c r="D845" s="15"/>
      <c r="E845" s="15"/>
      <c r="F845" s="49"/>
      <c r="J845" s="15"/>
      <c r="L845" s="15"/>
    </row>
    <row r="846" spans="2:12" ht="15.75" customHeight="1">
      <c r="B846" s="15"/>
      <c r="C846" s="15"/>
      <c r="D846" s="15"/>
      <c r="E846" s="15"/>
      <c r="F846" s="49"/>
      <c r="J846" s="15"/>
      <c r="L846" s="15"/>
    </row>
    <row r="847" spans="2:12" ht="15.75" customHeight="1">
      <c r="B847" s="15"/>
      <c r="C847" s="15"/>
      <c r="D847" s="15"/>
      <c r="E847" s="15"/>
      <c r="F847" s="49"/>
      <c r="J847" s="15"/>
      <c r="L847" s="15"/>
    </row>
    <row r="848" spans="2:12" ht="15.75" customHeight="1">
      <c r="B848" s="15"/>
      <c r="C848" s="15"/>
      <c r="D848" s="15"/>
      <c r="E848" s="15"/>
      <c r="F848" s="49"/>
      <c r="J848" s="15"/>
      <c r="L848" s="15"/>
    </row>
    <row r="849" spans="2:12" ht="15.75" customHeight="1">
      <c r="B849" s="15"/>
      <c r="C849" s="15"/>
      <c r="D849" s="15"/>
      <c r="E849" s="15"/>
      <c r="F849" s="49"/>
      <c r="J849" s="15"/>
      <c r="L849" s="15"/>
    </row>
    <row r="850" spans="2:12" ht="15.75" customHeight="1">
      <c r="B850" s="15"/>
      <c r="C850" s="15"/>
      <c r="D850" s="15"/>
      <c r="E850" s="15"/>
      <c r="F850" s="49"/>
      <c r="J850" s="15"/>
      <c r="L850" s="15"/>
    </row>
    <row r="851" spans="2:12" ht="15.75" customHeight="1">
      <c r="B851" s="15"/>
      <c r="C851" s="15"/>
      <c r="D851" s="15"/>
      <c r="E851" s="15"/>
      <c r="F851" s="49"/>
      <c r="J851" s="15"/>
      <c r="L851" s="15"/>
    </row>
    <row r="852" spans="2:12" ht="15.75" customHeight="1">
      <c r="B852" s="15"/>
      <c r="C852" s="15"/>
      <c r="D852" s="15"/>
      <c r="E852" s="15"/>
      <c r="F852" s="49"/>
      <c r="J852" s="15"/>
      <c r="L852" s="15"/>
    </row>
    <row r="853" spans="2:12" ht="15.75" customHeight="1">
      <c r="B853" s="15"/>
      <c r="C853" s="15"/>
      <c r="D853" s="15"/>
      <c r="E853" s="15"/>
      <c r="F853" s="49"/>
      <c r="J853" s="15"/>
      <c r="L853" s="15"/>
    </row>
    <row r="854" spans="2:12" ht="15.75" customHeight="1">
      <c r="B854" s="15"/>
      <c r="C854" s="15"/>
      <c r="D854" s="15"/>
      <c r="E854" s="15"/>
      <c r="F854" s="49"/>
      <c r="J854" s="15"/>
      <c r="L854" s="15"/>
    </row>
    <row r="855" spans="2:12" ht="15.75" customHeight="1">
      <c r="B855" s="15"/>
      <c r="C855" s="15"/>
      <c r="D855" s="15"/>
      <c r="E855" s="15"/>
      <c r="F855" s="49"/>
      <c r="J855" s="15"/>
      <c r="L855" s="15"/>
    </row>
    <row r="856" spans="2:12" ht="15.75" customHeight="1">
      <c r="B856" s="15"/>
      <c r="C856" s="15"/>
      <c r="D856" s="15"/>
      <c r="E856" s="15"/>
      <c r="F856" s="49"/>
      <c r="J856" s="15"/>
      <c r="L856" s="15"/>
    </row>
    <row r="857" spans="2:12" ht="15.75" customHeight="1">
      <c r="B857" s="15"/>
      <c r="C857" s="15"/>
      <c r="D857" s="15"/>
      <c r="E857" s="15"/>
      <c r="F857" s="49"/>
      <c r="J857" s="15"/>
      <c r="L857" s="15"/>
    </row>
    <row r="858" spans="2:12" ht="15.75" customHeight="1">
      <c r="B858" s="15"/>
      <c r="C858" s="15"/>
      <c r="D858" s="15"/>
      <c r="E858" s="15"/>
      <c r="F858" s="49"/>
      <c r="J858" s="15"/>
      <c r="L858" s="15"/>
    </row>
    <row r="859" spans="2:12" ht="15.75" customHeight="1">
      <c r="B859" s="15"/>
      <c r="C859" s="15"/>
      <c r="D859" s="15"/>
      <c r="E859" s="15"/>
      <c r="F859" s="49"/>
      <c r="J859" s="15"/>
      <c r="L859" s="15"/>
    </row>
    <row r="860" spans="2:12" ht="15.75" customHeight="1">
      <c r="B860" s="15"/>
      <c r="C860" s="15"/>
      <c r="D860" s="15"/>
      <c r="E860" s="15"/>
      <c r="F860" s="49"/>
      <c r="J860" s="15"/>
      <c r="L860" s="15"/>
    </row>
    <row r="861" spans="2:12" ht="15.75" customHeight="1">
      <c r="B861" s="15"/>
      <c r="C861" s="15"/>
      <c r="D861" s="15"/>
      <c r="E861" s="15"/>
      <c r="F861" s="49"/>
      <c r="J861" s="15"/>
      <c r="L861" s="15"/>
    </row>
    <row r="862" spans="2:12" ht="15.75" customHeight="1">
      <c r="B862" s="15"/>
      <c r="C862" s="15"/>
      <c r="D862" s="15"/>
      <c r="E862" s="15"/>
      <c r="F862" s="49"/>
      <c r="J862" s="15"/>
      <c r="L862" s="15"/>
    </row>
    <row r="863" spans="2:12" ht="15.75" customHeight="1">
      <c r="B863" s="15"/>
      <c r="C863" s="15"/>
      <c r="D863" s="15"/>
      <c r="E863" s="15"/>
      <c r="F863" s="49"/>
      <c r="J863" s="15"/>
      <c r="L863" s="15"/>
    </row>
    <row r="864" spans="2:12" ht="15.75" customHeight="1">
      <c r="B864" s="15"/>
      <c r="C864" s="15"/>
      <c r="D864" s="15"/>
      <c r="E864" s="15"/>
      <c r="F864" s="49"/>
      <c r="J864" s="15"/>
      <c r="L864" s="15"/>
    </row>
    <row r="865" spans="2:12" ht="15.75" customHeight="1">
      <c r="B865" s="15"/>
      <c r="C865" s="15"/>
      <c r="D865" s="15"/>
      <c r="E865" s="15"/>
      <c r="F865" s="49"/>
      <c r="J865" s="15"/>
      <c r="L865" s="15"/>
    </row>
    <row r="866" spans="2:12" ht="15.75" customHeight="1">
      <c r="B866" s="15"/>
      <c r="C866" s="15"/>
      <c r="D866" s="15"/>
      <c r="E866" s="15"/>
      <c r="F866" s="49"/>
      <c r="J866" s="15"/>
      <c r="L866" s="15"/>
    </row>
    <row r="867" spans="2:12" ht="15.75" customHeight="1">
      <c r="B867" s="15"/>
      <c r="C867" s="15"/>
      <c r="D867" s="15"/>
      <c r="E867" s="15"/>
      <c r="F867" s="49"/>
      <c r="J867" s="15"/>
      <c r="L867" s="15"/>
    </row>
    <row r="868" spans="2:12" ht="15.75" customHeight="1">
      <c r="B868" s="15"/>
      <c r="C868" s="15"/>
      <c r="D868" s="15"/>
      <c r="E868" s="15"/>
      <c r="F868" s="49"/>
      <c r="J868" s="15"/>
      <c r="L868" s="15"/>
    </row>
    <row r="869" spans="2:12" ht="15.75" customHeight="1">
      <c r="B869" s="15"/>
      <c r="C869" s="15"/>
      <c r="D869" s="15"/>
      <c r="E869" s="15"/>
      <c r="F869" s="49"/>
      <c r="J869" s="15"/>
      <c r="L869" s="15"/>
    </row>
    <row r="870" spans="2:12" ht="15.75" customHeight="1">
      <c r="B870" s="15"/>
      <c r="C870" s="15"/>
      <c r="D870" s="15"/>
      <c r="E870" s="15"/>
      <c r="F870" s="49"/>
      <c r="J870" s="15"/>
      <c r="L870" s="15"/>
    </row>
    <row r="871" spans="2:12" ht="15.75" customHeight="1">
      <c r="B871" s="15"/>
      <c r="C871" s="15"/>
      <c r="D871" s="15"/>
      <c r="E871" s="15"/>
      <c r="F871" s="49"/>
      <c r="J871" s="15"/>
      <c r="L871" s="15"/>
    </row>
    <row r="872" spans="2:12" ht="15.75" customHeight="1">
      <c r="B872" s="15"/>
      <c r="C872" s="15"/>
      <c r="D872" s="15"/>
      <c r="E872" s="15"/>
      <c r="F872" s="49"/>
      <c r="J872" s="15"/>
      <c r="L872" s="15"/>
    </row>
    <row r="873" spans="2:12" ht="15.75" customHeight="1">
      <c r="B873" s="15"/>
      <c r="C873" s="15"/>
      <c r="D873" s="15"/>
      <c r="E873" s="15"/>
      <c r="F873" s="49"/>
      <c r="J873" s="15"/>
      <c r="L873" s="15"/>
    </row>
    <row r="874" spans="2:12" ht="15.75" customHeight="1">
      <c r="B874" s="15"/>
      <c r="C874" s="15"/>
      <c r="D874" s="15"/>
      <c r="E874" s="15"/>
      <c r="F874" s="49"/>
      <c r="J874" s="15"/>
      <c r="L874" s="15"/>
    </row>
    <row r="875" spans="2:12" ht="15.75" customHeight="1">
      <c r="B875" s="15"/>
      <c r="C875" s="15"/>
      <c r="D875" s="15"/>
      <c r="E875" s="15"/>
      <c r="F875" s="49"/>
      <c r="J875" s="15"/>
      <c r="L875" s="15"/>
    </row>
    <row r="876" spans="2:12" ht="15.75" customHeight="1">
      <c r="B876" s="15"/>
      <c r="C876" s="15"/>
      <c r="D876" s="15"/>
      <c r="E876" s="15"/>
      <c r="F876" s="49"/>
      <c r="J876" s="15"/>
      <c r="L876" s="15"/>
    </row>
    <row r="877" spans="2:12" ht="15.75" customHeight="1">
      <c r="B877" s="15"/>
      <c r="C877" s="15"/>
      <c r="D877" s="15"/>
      <c r="E877" s="15"/>
      <c r="F877" s="49"/>
      <c r="J877" s="15"/>
      <c r="L877" s="15"/>
    </row>
    <row r="878" spans="2:12" ht="15.75" customHeight="1">
      <c r="B878" s="15"/>
      <c r="C878" s="15"/>
      <c r="D878" s="15"/>
      <c r="E878" s="15"/>
      <c r="F878" s="49"/>
      <c r="J878" s="15"/>
      <c r="L878" s="15"/>
    </row>
    <row r="879" spans="2:12" ht="15.75" customHeight="1">
      <c r="B879" s="15"/>
      <c r="C879" s="15"/>
      <c r="D879" s="15"/>
      <c r="E879" s="15"/>
      <c r="F879" s="49"/>
      <c r="J879" s="15"/>
      <c r="L879" s="15"/>
    </row>
    <row r="880" spans="2:12" ht="15.75" customHeight="1">
      <c r="B880" s="15"/>
      <c r="C880" s="15"/>
      <c r="D880" s="15"/>
      <c r="E880" s="15"/>
      <c r="F880" s="49"/>
      <c r="J880" s="15"/>
      <c r="L880" s="15"/>
    </row>
    <row r="881" spans="2:12" ht="15.75" customHeight="1">
      <c r="B881" s="15"/>
      <c r="C881" s="15"/>
      <c r="D881" s="15"/>
      <c r="E881" s="15"/>
      <c r="F881" s="49"/>
      <c r="J881" s="15"/>
      <c r="L881" s="15"/>
    </row>
    <row r="882" spans="2:12" ht="15.75" customHeight="1">
      <c r="B882" s="15"/>
      <c r="C882" s="15"/>
      <c r="D882" s="15"/>
      <c r="E882" s="15"/>
      <c r="F882" s="49"/>
      <c r="J882" s="15"/>
      <c r="L882" s="15"/>
    </row>
    <row r="883" spans="2:12" ht="15.75" customHeight="1">
      <c r="B883" s="15"/>
      <c r="C883" s="15"/>
      <c r="D883" s="15"/>
      <c r="E883" s="15"/>
      <c r="F883" s="49"/>
      <c r="J883" s="15"/>
      <c r="L883" s="15"/>
    </row>
    <row r="884" spans="2:12" ht="15.75" customHeight="1">
      <c r="B884" s="15"/>
      <c r="C884" s="15"/>
      <c r="D884" s="15"/>
      <c r="E884" s="15"/>
      <c r="F884" s="49"/>
      <c r="J884" s="15"/>
      <c r="L884" s="15"/>
    </row>
    <row r="885" spans="2:12" ht="15.75" customHeight="1">
      <c r="B885" s="15"/>
      <c r="C885" s="15"/>
      <c r="D885" s="15"/>
      <c r="E885" s="15"/>
      <c r="F885" s="49"/>
      <c r="J885" s="15"/>
      <c r="L885" s="15"/>
    </row>
    <row r="886" spans="2:12" ht="15.75" customHeight="1">
      <c r="B886" s="15"/>
      <c r="C886" s="15"/>
      <c r="D886" s="15"/>
      <c r="E886" s="15"/>
      <c r="F886" s="49"/>
      <c r="J886" s="15"/>
      <c r="L886" s="15"/>
    </row>
    <row r="887" spans="2:12" ht="15.75" customHeight="1">
      <c r="B887" s="15"/>
      <c r="C887" s="15"/>
      <c r="D887" s="15"/>
      <c r="E887" s="15"/>
      <c r="F887" s="49"/>
      <c r="J887" s="15"/>
      <c r="L887" s="15"/>
    </row>
    <row r="888" spans="2:12" ht="15.75" customHeight="1">
      <c r="B888" s="15"/>
      <c r="C888" s="15"/>
      <c r="D888" s="15"/>
      <c r="E888" s="15"/>
      <c r="F888" s="49"/>
      <c r="J888" s="15"/>
      <c r="L888" s="15"/>
    </row>
    <row r="889" spans="2:12" ht="15.75" customHeight="1">
      <c r="B889" s="15"/>
      <c r="C889" s="15"/>
      <c r="D889" s="15"/>
      <c r="E889" s="15"/>
      <c r="F889" s="49"/>
      <c r="J889" s="15"/>
      <c r="L889" s="15"/>
    </row>
    <row r="890" spans="2:12" ht="15.75" customHeight="1">
      <c r="B890" s="15"/>
      <c r="C890" s="15"/>
      <c r="D890" s="15"/>
      <c r="E890" s="15"/>
      <c r="F890" s="49"/>
      <c r="J890" s="15"/>
      <c r="L890" s="15"/>
    </row>
    <row r="891" spans="2:12" ht="15.75" customHeight="1">
      <c r="B891" s="15"/>
      <c r="C891" s="15"/>
      <c r="D891" s="15"/>
      <c r="E891" s="15"/>
      <c r="F891" s="49"/>
      <c r="J891" s="15"/>
      <c r="L891" s="15"/>
    </row>
    <row r="892" spans="2:12" ht="15.75" customHeight="1">
      <c r="B892" s="15"/>
      <c r="C892" s="15"/>
      <c r="D892" s="15"/>
      <c r="E892" s="15"/>
      <c r="F892" s="49"/>
      <c r="J892" s="15"/>
      <c r="L892" s="15"/>
    </row>
    <row r="893" spans="2:12" ht="15.75" customHeight="1">
      <c r="B893" s="15"/>
      <c r="C893" s="15"/>
      <c r="D893" s="15"/>
      <c r="E893" s="15"/>
      <c r="F893" s="49"/>
      <c r="J893" s="15"/>
      <c r="L893" s="15"/>
    </row>
    <row r="894" spans="2:12" ht="15.75" customHeight="1">
      <c r="B894" s="15"/>
      <c r="C894" s="15"/>
      <c r="D894" s="15"/>
      <c r="E894" s="15"/>
      <c r="F894" s="49"/>
      <c r="J894" s="15"/>
      <c r="L894" s="15"/>
    </row>
    <row r="895" spans="2:12" ht="15.75" customHeight="1">
      <c r="B895" s="15"/>
      <c r="C895" s="15"/>
      <c r="D895" s="15"/>
      <c r="E895" s="15"/>
      <c r="F895" s="49"/>
      <c r="J895" s="15"/>
      <c r="L895" s="15"/>
    </row>
    <row r="896" spans="2:12" ht="15.75" customHeight="1">
      <c r="B896" s="15"/>
      <c r="C896" s="15"/>
      <c r="D896" s="15"/>
      <c r="E896" s="15"/>
      <c r="F896" s="49"/>
      <c r="J896" s="15"/>
      <c r="L896" s="15"/>
    </row>
    <row r="897" spans="2:12" ht="15.75" customHeight="1">
      <c r="B897" s="15"/>
      <c r="C897" s="15"/>
      <c r="D897" s="15"/>
      <c r="E897" s="15"/>
      <c r="F897" s="49"/>
      <c r="J897" s="15"/>
      <c r="L897" s="15"/>
    </row>
    <row r="898" spans="2:12" ht="15.75" customHeight="1">
      <c r="B898" s="15"/>
      <c r="C898" s="15"/>
      <c r="D898" s="15"/>
      <c r="E898" s="15"/>
      <c r="F898" s="49"/>
      <c r="J898" s="15"/>
      <c r="L898" s="15"/>
    </row>
    <row r="899" spans="2:12" ht="15.75" customHeight="1">
      <c r="B899" s="15"/>
      <c r="C899" s="15"/>
      <c r="D899" s="15"/>
      <c r="E899" s="15"/>
      <c r="F899" s="49"/>
      <c r="J899" s="15"/>
      <c r="L899" s="15"/>
    </row>
    <row r="900" spans="2:12" ht="15.75" customHeight="1">
      <c r="B900" s="15"/>
      <c r="C900" s="15"/>
      <c r="D900" s="15"/>
      <c r="E900" s="15"/>
      <c r="F900" s="49"/>
      <c r="J900" s="15"/>
      <c r="L900" s="15"/>
    </row>
    <row r="901" spans="2:12" ht="15.75" customHeight="1">
      <c r="B901" s="15"/>
      <c r="C901" s="15"/>
      <c r="D901" s="15"/>
      <c r="E901" s="15"/>
      <c r="F901" s="49"/>
      <c r="J901" s="15"/>
      <c r="L901" s="15"/>
    </row>
    <row r="902" spans="2:12" ht="15.75" customHeight="1">
      <c r="B902" s="15"/>
      <c r="C902" s="15"/>
      <c r="D902" s="15"/>
      <c r="E902" s="15"/>
      <c r="F902" s="49"/>
      <c r="J902" s="15"/>
      <c r="L902" s="15"/>
    </row>
    <row r="903" spans="2:12" ht="15.75" customHeight="1">
      <c r="B903" s="15"/>
      <c r="C903" s="15"/>
      <c r="D903" s="15"/>
      <c r="E903" s="15"/>
      <c r="F903" s="49"/>
      <c r="J903" s="15"/>
      <c r="L903" s="15"/>
    </row>
    <row r="904" spans="2:12" ht="15.75" customHeight="1">
      <c r="B904" s="15"/>
      <c r="C904" s="15"/>
      <c r="D904" s="15"/>
      <c r="E904" s="15"/>
      <c r="F904" s="49"/>
      <c r="J904" s="15"/>
      <c r="L904" s="15"/>
    </row>
    <row r="905" spans="2:12" ht="15.75" customHeight="1">
      <c r="B905" s="15"/>
      <c r="C905" s="15"/>
      <c r="D905" s="15"/>
      <c r="E905" s="15"/>
      <c r="F905" s="49"/>
      <c r="J905" s="15"/>
      <c r="L905" s="15"/>
    </row>
    <row r="906" spans="2:12" ht="15.75" customHeight="1">
      <c r="B906" s="15"/>
      <c r="C906" s="15"/>
      <c r="D906" s="15"/>
      <c r="E906" s="15"/>
      <c r="F906" s="49"/>
      <c r="J906" s="15"/>
      <c r="L906" s="15"/>
    </row>
    <row r="907" spans="2:12" ht="15.75" customHeight="1">
      <c r="B907" s="15"/>
      <c r="C907" s="15"/>
      <c r="D907" s="15"/>
      <c r="E907" s="15"/>
      <c r="F907" s="49"/>
      <c r="J907" s="15"/>
      <c r="L907" s="15"/>
    </row>
    <row r="908" spans="2:12" ht="15.75" customHeight="1">
      <c r="B908" s="15"/>
      <c r="C908" s="15"/>
      <c r="D908" s="15"/>
      <c r="E908" s="15"/>
      <c r="F908" s="49"/>
      <c r="J908" s="15"/>
      <c r="L908" s="15"/>
    </row>
    <row r="909" spans="2:12" ht="15.75" customHeight="1">
      <c r="B909" s="15"/>
      <c r="C909" s="15"/>
      <c r="D909" s="15"/>
      <c r="E909" s="15"/>
      <c r="F909" s="49"/>
      <c r="J909" s="15"/>
      <c r="L909" s="15"/>
    </row>
    <row r="910" spans="2:12" ht="15.75" customHeight="1">
      <c r="B910" s="15"/>
      <c r="C910" s="15"/>
      <c r="D910" s="15"/>
      <c r="E910" s="15"/>
      <c r="F910" s="49"/>
      <c r="J910" s="15"/>
      <c r="L910" s="15"/>
    </row>
    <row r="911" spans="2:12" ht="15.75" customHeight="1">
      <c r="B911" s="15"/>
      <c r="C911" s="15"/>
      <c r="D911" s="15"/>
      <c r="E911" s="15"/>
      <c r="F911" s="49"/>
      <c r="J911" s="15"/>
      <c r="L911" s="15"/>
    </row>
    <row r="912" spans="2:12" ht="15.75" customHeight="1">
      <c r="B912" s="15"/>
      <c r="C912" s="15"/>
      <c r="D912" s="15"/>
      <c r="E912" s="15"/>
      <c r="F912" s="49"/>
      <c r="J912" s="15"/>
      <c r="L912" s="15"/>
    </row>
    <row r="913" spans="2:12" ht="15.75" customHeight="1">
      <c r="B913" s="15"/>
      <c r="C913" s="15"/>
      <c r="D913" s="15"/>
      <c r="E913" s="15"/>
      <c r="F913" s="49"/>
      <c r="J913" s="15"/>
      <c r="L913" s="15"/>
    </row>
    <row r="914" spans="2:12" ht="15.75" customHeight="1">
      <c r="B914" s="15"/>
      <c r="C914" s="15"/>
      <c r="D914" s="15"/>
      <c r="E914" s="15"/>
      <c r="F914" s="49"/>
      <c r="J914" s="15"/>
      <c r="L914" s="15"/>
    </row>
    <row r="915" spans="2:12" ht="15.75" customHeight="1">
      <c r="B915" s="15"/>
      <c r="C915" s="15"/>
      <c r="D915" s="15"/>
      <c r="E915" s="15"/>
      <c r="F915" s="49"/>
      <c r="J915" s="15"/>
      <c r="L915" s="15"/>
    </row>
    <row r="916" spans="2:12" ht="15.75" customHeight="1">
      <c r="B916" s="15"/>
      <c r="C916" s="15"/>
      <c r="D916" s="15"/>
      <c r="E916" s="15"/>
      <c r="F916" s="49"/>
      <c r="J916" s="15"/>
      <c r="L916" s="15"/>
    </row>
    <row r="917" spans="2:12" ht="15.75" customHeight="1">
      <c r="B917" s="15"/>
      <c r="C917" s="15"/>
      <c r="D917" s="15"/>
      <c r="E917" s="15"/>
      <c r="F917" s="49"/>
      <c r="J917" s="15"/>
      <c r="L917" s="15"/>
    </row>
    <row r="918" spans="2:12" ht="15.75" customHeight="1">
      <c r="B918" s="15"/>
      <c r="C918" s="15"/>
      <c r="D918" s="15"/>
      <c r="E918" s="15"/>
      <c r="F918" s="49"/>
      <c r="J918" s="15"/>
      <c r="L918" s="15"/>
    </row>
    <row r="919" spans="2:12" ht="15.75" customHeight="1">
      <c r="B919" s="15"/>
      <c r="C919" s="15"/>
      <c r="D919" s="15"/>
      <c r="E919" s="15"/>
      <c r="F919" s="49"/>
      <c r="J919" s="15"/>
      <c r="L919" s="15"/>
    </row>
    <row r="920" spans="2:12" ht="15.75" customHeight="1">
      <c r="B920" s="15"/>
      <c r="C920" s="15"/>
      <c r="D920" s="15"/>
      <c r="E920" s="15"/>
      <c r="F920" s="49"/>
      <c r="J920" s="15"/>
      <c r="L920" s="15"/>
    </row>
    <row r="921" spans="2:12" ht="15.75" customHeight="1">
      <c r="B921" s="15"/>
      <c r="C921" s="15"/>
      <c r="D921" s="15"/>
      <c r="E921" s="15"/>
      <c r="F921" s="49"/>
      <c r="J921" s="15"/>
      <c r="L921" s="15"/>
    </row>
    <row r="922" spans="2:12" ht="15.75" customHeight="1">
      <c r="B922" s="15"/>
      <c r="C922" s="15"/>
      <c r="D922" s="15"/>
      <c r="E922" s="15"/>
      <c r="F922" s="49"/>
      <c r="J922" s="15"/>
      <c r="L922" s="15"/>
    </row>
    <row r="923" spans="2:12" ht="15.75" customHeight="1">
      <c r="B923" s="15"/>
      <c r="C923" s="15"/>
      <c r="D923" s="15"/>
      <c r="E923" s="15"/>
      <c r="F923" s="49"/>
      <c r="J923" s="15"/>
      <c r="L923" s="15"/>
    </row>
    <row r="924" spans="2:12" ht="15.75" customHeight="1">
      <c r="B924" s="15"/>
      <c r="C924" s="15"/>
      <c r="D924" s="15"/>
      <c r="E924" s="15"/>
      <c r="F924" s="49"/>
      <c r="J924" s="15"/>
      <c r="L924" s="15"/>
    </row>
    <row r="925" spans="2:12" ht="15.75" customHeight="1">
      <c r="B925" s="15"/>
      <c r="C925" s="15"/>
      <c r="D925" s="15"/>
      <c r="E925" s="15"/>
      <c r="F925" s="49"/>
      <c r="J925" s="15"/>
      <c r="L925" s="15"/>
    </row>
    <row r="926" spans="2:12" ht="15.75" customHeight="1">
      <c r="B926" s="15"/>
      <c r="C926" s="15"/>
      <c r="D926" s="15"/>
      <c r="E926" s="15"/>
      <c r="F926" s="49"/>
      <c r="J926" s="15"/>
      <c r="L926" s="15"/>
    </row>
    <row r="927" spans="2:12" ht="15.75" customHeight="1">
      <c r="B927" s="15"/>
      <c r="C927" s="15"/>
      <c r="D927" s="15"/>
      <c r="E927" s="15"/>
      <c r="F927" s="49"/>
      <c r="J927" s="15"/>
      <c r="L927" s="15"/>
    </row>
    <row r="928" spans="2:12" ht="15.75" customHeight="1">
      <c r="B928" s="15"/>
      <c r="C928" s="15"/>
      <c r="D928" s="15"/>
      <c r="E928" s="15"/>
      <c r="F928" s="49"/>
      <c r="J928" s="15"/>
      <c r="L928" s="15"/>
    </row>
    <row r="929" spans="2:12" ht="15.75" customHeight="1">
      <c r="B929" s="15"/>
      <c r="C929" s="15"/>
      <c r="D929" s="15"/>
      <c r="E929" s="15"/>
      <c r="F929" s="49"/>
      <c r="J929" s="15"/>
      <c r="L929" s="15"/>
    </row>
    <row r="930" spans="2:12" ht="15.75" customHeight="1">
      <c r="B930" s="15"/>
      <c r="C930" s="15"/>
      <c r="D930" s="15"/>
      <c r="E930" s="15"/>
      <c r="F930" s="49"/>
      <c r="J930" s="15"/>
      <c r="L930" s="15"/>
    </row>
    <row r="931" spans="2:12" ht="15.75" customHeight="1">
      <c r="B931" s="15"/>
      <c r="C931" s="15"/>
      <c r="D931" s="15"/>
      <c r="E931" s="15"/>
      <c r="F931" s="49"/>
      <c r="J931" s="15"/>
      <c r="L931" s="15"/>
    </row>
    <row r="932" spans="2:12" ht="15.75" customHeight="1">
      <c r="B932" s="15"/>
      <c r="C932" s="15"/>
      <c r="D932" s="15"/>
      <c r="E932" s="15"/>
      <c r="F932" s="49"/>
      <c r="J932" s="15"/>
      <c r="L932" s="15"/>
    </row>
    <row r="933" spans="2:12" ht="15.75" customHeight="1">
      <c r="B933" s="15"/>
      <c r="C933" s="15"/>
      <c r="D933" s="15"/>
      <c r="E933" s="15"/>
      <c r="F933" s="49"/>
      <c r="J933" s="15"/>
      <c r="L933" s="15"/>
    </row>
    <row r="934" spans="2:12" ht="15.75" customHeight="1">
      <c r="B934" s="15"/>
      <c r="C934" s="15"/>
      <c r="D934" s="15"/>
      <c r="E934" s="15"/>
      <c r="F934" s="49"/>
      <c r="J934" s="15"/>
      <c r="L934" s="15"/>
    </row>
    <row r="935" spans="2:12" ht="15.75" customHeight="1">
      <c r="B935" s="15"/>
      <c r="C935" s="15"/>
      <c r="D935" s="15"/>
      <c r="E935" s="15"/>
      <c r="F935" s="49"/>
      <c r="J935" s="15"/>
      <c r="L935" s="15"/>
    </row>
    <row r="936" spans="2:12" ht="15.75" customHeight="1">
      <c r="B936" s="15"/>
      <c r="C936" s="15"/>
      <c r="D936" s="15"/>
      <c r="E936" s="15"/>
      <c r="F936" s="49"/>
      <c r="J936" s="15"/>
      <c r="L936" s="15"/>
    </row>
    <row r="937" spans="2:12" ht="15.75" customHeight="1">
      <c r="B937" s="15"/>
      <c r="C937" s="15"/>
      <c r="D937" s="15"/>
      <c r="E937" s="15"/>
      <c r="F937" s="49"/>
      <c r="J937" s="15"/>
      <c r="L937" s="15"/>
    </row>
    <row r="938" spans="2:12" ht="15.75" customHeight="1">
      <c r="B938" s="15"/>
      <c r="C938" s="15"/>
      <c r="D938" s="15"/>
      <c r="E938" s="15"/>
      <c r="F938" s="49"/>
      <c r="J938" s="15"/>
      <c r="L938" s="15"/>
    </row>
    <row r="939" spans="2:12" ht="15.75" customHeight="1">
      <c r="B939" s="15"/>
      <c r="C939" s="15"/>
      <c r="D939" s="15"/>
      <c r="E939" s="15"/>
      <c r="F939" s="49"/>
      <c r="J939" s="15"/>
      <c r="L939" s="15"/>
    </row>
    <row r="940" spans="2:12" ht="15.75" customHeight="1">
      <c r="B940" s="15"/>
      <c r="C940" s="15"/>
      <c r="D940" s="15"/>
      <c r="E940" s="15"/>
      <c r="F940" s="49"/>
      <c r="J940" s="15"/>
      <c r="L940" s="15"/>
    </row>
    <row r="941" spans="2:12" ht="15.75" customHeight="1">
      <c r="B941" s="15"/>
      <c r="C941" s="15"/>
      <c r="D941" s="15"/>
      <c r="E941" s="15"/>
      <c r="F941" s="49"/>
      <c r="J941" s="15"/>
      <c r="L941" s="15"/>
    </row>
    <row r="942" spans="2:12" ht="15.75" customHeight="1">
      <c r="B942" s="15"/>
      <c r="C942" s="15"/>
      <c r="D942" s="15"/>
      <c r="E942" s="15"/>
      <c r="F942" s="49"/>
      <c r="J942" s="15"/>
      <c r="L942" s="15"/>
    </row>
    <row r="943" spans="2:12" ht="15.75" customHeight="1">
      <c r="B943" s="15"/>
      <c r="C943" s="15"/>
      <c r="D943" s="15"/>
      <c r="E943" s="15"/>
      <c r="F943" s="49"/>
      <c r="J943" s="15"/>
      <c r="L943" s="15"/>
    </row>
    <row r="944" spans="2:12" ht="15.75" customHeight="1">
      <c r="B944" s="15"/>
      <c r="C944" s="15"/>
      <c r="D944" s="15"/>
      <c r="E944" s="15"/>
      <c r="F944" s="49"/>
      <c r="J944" s="15"/>
      <c r="L944" s="15"/>
    </row>
    <row r="945" spans="2:12" ht="15.75" customHeight="1">
      <c r="B945" s="15"/>
      <c r="C945" s="15"/>
      <c r="D945" s="15"/>
      <c r="E945" s="15"/>
      <c r="F945" s="49"/>
      <c r="J945" s="15"/>
      <c r="L945" s="15"/>
    </row>
    <row r="946" spans="2:12" ht="15.75" customHeight="1">
      <c r="B946" s="15"/>
      <c r="C946" s="15"/>
      <c r="D946" s="15"/>
      <c r="E946" s="15"/>
      <c r="F946" s="49"/>
      <c r="J946" s="15"/>
      <c r="L946" s="15"/>
    </row>
    <row r="947" spans="2:12" ht="15.75" customHeight="1">
      <c r="B947" s="15"/>
      <c r="C947" s="15"/>
      <c r="D947" s="15"/>
      <c r="E947" s="15"/>
      <c r="F947" s="49"/>
      <c r="J947" s="15"/>
      <c r="L947" s="15"/>
    </row>
    <row r="948" spans="2:12" ht="15.75" customHeight="1">
      <c r="B948" s="15"/>
      <c r="C948" s="15"/>
      <c r="D948" s="15"/>
      <c r="E948" s="15"/>
      <c r="F948" s="49"/>
      <c r="J948" s="15"/>
      <c r="L948" s="15"/>
    </row>
    <row r="949" spans="2:12" ht="15.75" customHeight="1">
      <c r="B949" s="15"/>
      <c r="C949" s="15"/>
      <c r="D949" s="15"/>
      <c r="E949" s="15"/>
      <c r="F949" s="49"/>
      <c r="J949" s="15"/>
      <c r="L949" s="15"/>
    </row>
    <row r="950" spans="2:12" ht="15.75" customHeight="1">
      <c r="B950" s="15"/>
      <c r="C950" s="15"/>
      <c r="D950" s="15"/>
      <c r="E950" s="15"/>
      <c r="F950" s="49"/>
      <c r="J950" s="15"/>
      <c r="L950" s="15"/>
    </row>
    <row r="951" spans="2:12" ht="15.75" customHeight="1">
      <c r="B951" s="15"/>
      <c r="C951" s="15"/>
      <c r="D951" s="15"/>
      <c r="E951" s="15"/>
      <c r="F951" s="49"/>
      <c r="J951" s="15"/>
      <c r="L951" s="15"/>
    </row>
    <row r="952" spans="2:12" ht="15.75" customHeight="1">
      <c r="B952" s="15"/>
      <c r="C952" s="15"/>
      <c r="D952" s="15"/>
      <c r="E952" s="15"/>
      <c r="F952" s="49"/>
      <c r="J952" s="15"/>
      <c r="L952" s="15"/>
    </row>
    <row r="953" spans="2:12" ht="15.75" customHeight="1">
      <c r="B953" s="15"/>
      <c r="C953" s="15"/>
      <c r="D953" s="15"/>
      <c r="E953" s="15"/>
      <c r="F953" s="49"/>
      <c r="J953" s="15"/>
      <c r="L953" s="15"/>
    </row>
    <row r="954" spans="2:12" ht="15.75" customHeight="1">
      <c r="B954" s="15"/>
      <c r="C954" s="15"/>
      <c r="D954" s="15"/>
      <c r="E954" s="15"/>
      <c r="F954" s="49"/>
      <c r="J954" s="15"/>
      <c r="L954" s="15"/>
    </row>
    <row r="955" spans="2:12" ht="15.75" customHeight="1">
      <c r="B955" s="15"/>
      <c r="C955" s="15"/>
      <c r="D955" s="15"/>
      <c r="E955" s="15"/>
      <c r="F955" s="49"/>
      <c r="J955" s="15"/>
      <c r="L955" s="15"/>
    </row>
    <row r="956" spans="2:12" ht="15.75" customHeight="1">
      <c r="B956" s="15"/>
      <c r="C956" s="15"/>
      <c r="D956" s="15"/>
      <c r="E956" s="15"/>
      <c r="F956" s="49"/>
      <c r="J956" s="15"/>
      <c r="L956" s="15"/>
    </row>
    <row r="957" spans="2:12" ht="15.75" customHeight="1">
      <c r="B957" s="15"/>
      <c r="C957" s="15"/>
      <c r="D957" s="15"/>
      <c r="E957" s="15"/>
      <c r="F957" s="49"/>
      <c r="J957" s="15"/>
      <c r="L957" s="15"/>
    </row>
    <row r="958" spans="2:12" ht="15.75" customHeight="1">
      <c r="B958" s="15"/>
      <c r="C958" s="15"/>
      <c r="D958" s="15"/>
      <c r="E958" s="15"/>
      <c r="F958" s="49"/>
      <c r="J958" s="15"/>
      <c r="L958" s="15"/>
    </row>
    <row r="959" spans="2:12" ht="15.75" customHeight="1">
      <c r="B959" s="15"/>
      <c r="C959" s="15"/>
      <c r="D959" s="15"/>
      <c r="E959" s="15"/>
      <c r="F959" s="49"/>
      <c r="J959" s="15"/>
      <c r="L959" s="15"/>
    </row>
    <row r="960" spans="2:12" ht="15.75" customHeight="1">
      <c r="B960" s="15"/>
      <c r="C960" s="15"/>
      <c r="D960" s="15"/>
      <c r="E960" s="15"/>
      <c r="F960" s="49"/>
      <c r="J960" s="15"/>
      <c r="L960" s="15"/>
    </row>
    <row r="961" spans="2:12" ht="15.75" customHeight="1">
      <c r="B961" s="15"/>
      <c r="C961" s="15"/>
      <c r="D961" s="15"/>
      <c r="E961" s="15"/>
      <c r="F961" s="49"/>
      <c r="J961" s="15"/>
      <c r="L961" s="15"/>
    </row>
    <row r="962" spans="2:12" ht="15.75" customHeight="1">
      <c r="B962" s="15"/>
      <c r="C962" s="15"/>
      <c r="D962" s="15"/>
      <c r="E962" s="15"/>
      <c r="F962" s="49"/>
      <c r="J962" s="15"/>
      <c r="L962" s="15"/>
    </row>
    <row r="963" spans="2:12" ht="15.75" customHeight="1">
      <c r="B963" s="15"/>
      <c r="C963" s="15"/>
      <c r="D963" s="15"/>
      <c r="E963" s="15"/>
      <c r="F963" s="49"/>
      <c r="J963" s="15"/>
      <c r="L963" s="15"/>
    </row>
    <row r="964" spans="2:12" ht="15.75" customHeight="1">
      <c r="B964" s="15"/>
      <c r="C964" s="15"/>
      <c r="D964" s="15"/>
      <c r="E964" s="15"/>
      <c r="F964" s="49"/>
      <c r="J964" s="15"/>
      <c r="L964" s="15"/>
    </row>
    <row r="965" spans="2:12" ht="15.75" customHeight="1">
      <c r="B965" s="15"/>
      <c r="C965" s="15"/>
      <c r="D965" s="15"/>
      <c r="E965" s="15"/>
      <c r="F965" s="49"/>
      <c r="J965" s="15"/>
      <c r="L965" s="15"/>
    </row>
    <row r="966" spans="2:12" ht="15.75" customHeight="1">
      <c r="B966" s="15"/>
      <c r="C966" s="15"/>
      <c r="D966" s="15"/>
      <c r="E966" s="15"/>
      <c r="F966" s="49"/>
      <c r="J966" s="15"/>
      <c r="L966" s="15"/>
    </row>
    <row r="967" spans="2:12" ht="15.75" customHeight="1">
      <c r="B967" s="15"/>
      <c r="C967" s="15"/>
      <c r="D967" s="15"/>
      <c r="E967" s="15"/>
      <c r="F967" s="49"/>
      <c r="J967" s="15"/>
      <c r="L967" s="15"/>
    </row>
    <row r="968" spans="2:12" ht="15.75" customHeight="1">
      <c r="B968" s="15"/>
      <c r="C968" s="15"/>
      <c r="D968" s="15"/>
      <c r="E968" s="15"/>
      <c r="F968" s="49"/>
      <c r="J968" s="15"/>
      <c r="L968" s="15"/>
    </row>
    <row r="969" spans="2:12" ht="15.75" customHeight="1">
      <c r="B969" s="15"/>
      <c r="C969" s="15"/>
      <c r="D969" s="15"/>
      <c r="E969" s="15"/>
      <c r="F969" s="49"/>
      <c r="J969" s="15"/>
      <c r="L969" s="15"/>
    </row>
    <row r="970" spans="2:12" ht="15.75" customHeight="1">
      <c r="B970" s="15"/>
      <c r="C970" s="15"/>
      <c r="D970" s="15"/>
      <c r="E970" s="15"/>
      <c r="F970" s="49"/>
      <c r="J970" s="15"/>
      <c r="L970" s="15"/>
    </row>
    <row r="971" spans="2:12" ht="15.75" customHeight="1">
      <c r="B971" s="15"/>
      <c r="C971" s="15"/>
      <c r="D971" s="15"/>
      <c r="E971" s="15"/>
      <c r="F971" s="49"/>
      <c r="J971" s="15"/>
      <c r="L971" s="15"/>
    </row>
    <row r="972" spans="2:12" ht="15.75" customHeight="1">
      <c r="B972" s="15"/>
      <c r="C972" s="15"/>
      <c r="D972" s="15"/>
      <c r="E972" s="15"/>
      <c r="F972" s="49"/>
      <c r="J972" s="15"/>
      <c r="L972" s="15"/>
    </row>
    <row r="973" spans="2:12" ht="15.75" customHeight="1">
      <c r="B973" s="15"/>
      <c r="C973" s="15"/>
      <c r="D973" s="15"/>
      <c r="E973" s="15"/>
      <c r="F973" s="49"/>
      <c r="J973" s="15"/>
      <c r="L973" s="15"/>
    </row>
    <row r="974" spans="2:12" ht="15.75" customHeight="1">
      <c r="B974" s="15"/>
      <c r="C974" s="15"/>
      <c r="D974" s="15"/>
      <c r="E974" s="15"/>
      <c r="F974" s="49"/>
      <c r="J974" s="15"/>
      <c r="L974" s="15"/>
    </row>
    <row r="975" spans="2:12" ht="15.75" customHeight="1">
      <c r="B975" s="15"/>
      <c r="C975" s="15"/>
      <c r="D975" s="15"/>
      <c r="E975" s="15"/>
      <c r="F975" s="49"/>
      <c r="J975" s="15"/>
      <c r="L975" s="15"/>
    </row>
  </sheetData>
  <mergeCells count="11">
    <mergeCell ref="I27:J27"/>
    <mergeCell ref="I28:J28"/>
    <mergeCell ref="J32:L32"/>
    <mergeCell ref="B38:B39"/>
    <mergeCell ref="J29:L29"/>
    <mergeCell ref="B37:G37"/>
    <mergeCell ref="C38:C39"/>
    <mergeCell ref="D38:D39"/>
    <mergeCell ref="E38:E39"/>
    <mergeCell ref="F38:F39"/>
    <mergeCell ref="G38:G39"/>
  </mergeCells>
  <pageMargins left="0.7" right="0.7" top="0.75" bottom="0.75" header="0" footer="0"/>
  <pageSetup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HORARIOS NOVIEMBRE </vt:lpstr>
      <vt:lpstr>HORARIOS ENERO</vt:lpstr>
      <vt:lpstr>HORARIOS FEBRERO</vt:lpstr>
      <vt:lpstr>HORARIOS MARZO</vt:lpstr>
      <vt:lpstr>HORARIOS JULIO </vt:lpstr>
      <vt:lpstr>DOMINGOS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STORE 1029</dc:creator>
  <cp:keywords/>
  <dc:description/>
  <cp:lastModifiedBy>Personal</cp:lastModifiedBy>
  <cp:revision/>
  <dcterms:created xsi:type="dcterms:W3CDTF">2024-11-23T21:59:54Z</dcterms:created>
  <dcterms:modified xsi:type="dcterms:W3CDTF">2026-09-03T04:20:04Z</dcterms:modified>
  <cp:category/>
  <cp:contentStatus/>
</cp:coreProperties>
</file>